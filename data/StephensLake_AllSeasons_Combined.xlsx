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anderbilt365.sharepoint.com/sites/Lakes/Shared Documents/VU Research/SL/"/>
    </mc:Choice>
  </mc:AlternateContent>
  <xr:revisionPtr revIDLastSave="137" documentId="11_BABDC243FA51CD23EC0F9B8D31B8896728E01A97" xr6:coauthVersionLast="47" xr6:coauthVersionMax="47" xr10:uidLastSave="{A6A148A0-4868-4683-B14F-072CCE3D332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sharedStrings.xml><?xml version="1.0" encoding="utf-8"?>
<sst xmlns="http://schemas.openxmlformats.org/spreadsheetml/2006/main" count="226" uniqueCount="69">
  <si>
    <t>FILE NAME</t>
  </si>
  <si>
    <t>TIME</t>
  </si>
  <si>
    <t>DATE</t>
  </si>
  <si>
    <t>DEPTH (M)</t>
  </si>
  <si>
    <t>COND (µS/CM)</t>
  </si>
  <si>
    <t>SP COND (µS/CM)</t>
  </si>
  <si>
    <t>TDS (MG/L)</t>
  </si>
  <si>
    <t>SAL (PSU)</t>
  </si>
  <si>
    <t>DO (% SAT)</t>
  </si>
  <si>
    <t>DO (MG/L)</t>
  </si>
  <si>
    <t>PH</t>
  </si>
  <si>
    <t>TEMP (°C)</t>
  </si>
  <si>
    <t>TURBIDITY (FNU)</t>
  </si>
  <si>
    <t>δ13C</t>
  </si>
  <si>
    <t>StdDevOfDeltas</t>
  </si>
  <si>
    <t>δ18O</t>
  </si>
  <si>
    <t>δ2H</t>
  </si>
  <si>
    <t>Chlorides</t>
  </si>
  <si>
    <t>Nitrates</t>
  </si>
  <si>
    <t>Sulfate</t>
  </si>
  <si>
    <t>Potassium (K)</t>
  </si>
  <si>
    <t>Magnesium (Mg)</t>
  </si>
  <si>
    <t>Manganese (Mn)</t>
  </si>
  <si>
    <t>Sodium (Na)</t>
  </si>
  <si>
    <t>Phosphorus (P)</t>
  </si>
  <si>
    <t>Sulfur (S)</t>
  </si>
  <si>
    <t>Silicon (Si)</t>
  </si>
  <si>
    <t>Iron (Fe) (ug/L)</t>
  </si>
  <si>
    <t>Aluminum (Al)</t>
  </si>
  <si>
    <t>Chromium (Cr)</t>
  </si>
  <si>
    <t>Copper (Cu)</t>
  </si>
  <si>
    <t>Arsenic (As)</t>
  </si>
  <si>
    <t>Selenium (Se)</t>
  </si>
  <si>
    <t>Cadium (Cd)</t>
  </si>
  <si>
    <t>Antimony (Sb)</t>
  </si>
  <si>
    <t>Barium (Ba)</t>
  </si>
  <si>
    <t>Thallium (Tl)</t>
  </si>
  <si>
    <t>Lead (Pb)</t>
  </si>
  <si>
    <t xml:space="preserve">Beryllium (Be) </t>
  </si>
  <si>
    <t>GPP (mgO₂/L/hr)</t>
  </si>
  <si>
    <t>R (mgO₂/L/hr)</t>
  </si>
  <si>
    <t>NEP (mgO₂/L/hr)</t>
  </si>
  <si>
    <t>KO₂ (m/day)</t>
  </si>
  <si>
    <t>SL-1</t>
  </si>
  <si>
    <t>SL-2</t>
  </si>
  <si>
    <t>SL-3</t>
  </si>
  <si>
    <t>SL-4</t>
  </si>
  <si>
    <t>SL-5</t>
  </si>
  <si>
    <t>ND</t>
  </si>
  <si>
    <t>SL-6</t>
  </si>
  <si>
    <t>SL-7</t>
  </si>
  <si>
    <t>SL-8</t>
  </si>
  <si>
    <t>SL-9</t>
  </si>
  <si>
    <t>SL-10</t>
  </si>
  <si>
    <t>SL-11</t>
  </si>
  <si>
    <t>SL-12</t>
  </si>
  <si>
    <t>SL-13</t>
  </si>
  <si>
    <t>Fall</t>
  </si>
  <si>
    <t>Spring</t>
  </si>
  <si>
    <t>Fluorides(mg/L)</t>
  </si>
  <si>
    <t>Calcium (Ca) (mg/L)</t>
  </si>
  <si>
    <t>TOC (mg/L)</t>
  </si>
  <si>
    <t>TC (mg/L)</t>
  </si>
  <si>
    <t>DIC (mg/L)</t>
  </si>
  <si>
    <t>Winter</t>
  </si>
  <si>
    <t>Phosphate</t>
  </si>
  <si>
    <t>Summer</t>
  </si>
  <si>
    <t>Season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</si>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</sst>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"/>
    <numFmt numFmtId="167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9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53"/>
  <sheetViews>
    <sheetView tabSelected="1" workbookViewId="0">
      <selection activeCell="M41" sqref="M41:M53"/>
    </sheetView>
  </sheetViews>
  <sheetFormatPr defaultRowHeight="14.5" x14ac:dyDescent="0.35"/>
  <cols>
    <col min="2" max="2" width="10.453125" bestFit="1" customWidth="1"/>
    <col min="3" max="3" width="11.26953125" bestFit="1" customWidth="1"/>
    <col min="4" max="4" width="10.453125" bestFit="1" customWidth="1"/>
    <col min="5" max="5" width="13.54296875" bestFit="1" customWidth="1"/>
    <col min="6" max="6" width="10.54296875" bestFit="1" customWidth="1"/>
    <col min="7" max="7" width="14.7265625" bestFit="1" customWidth="1"/>
    <col min="8" max="8" width="17.54296875" bestFit="1" customWidth="1"/>
    <col min="9" max="9" width="11.1796875" bestFit="1" customWidth="1"/>
    <col min="10" max="10" width="9.7265625" bestFit="1" customWidth="1"/>
    <col min="11" max="11" width="11" bestFit="1" customWidth="1"/>
    <col min="12" max="12" width="10.453125" bestFit="1" customWidth="1"/>
    <col min="14" max="14" width="10" bestFit="1" customWidth="1"/>
    <col min="15" max="15" width="16.1796875" bestFit="1" customWidth="1"/>
    <col min="17" max="17" width="15.7265625" bestFit="1" customWidth="1"/>
    <col min="19" max="19" width="15.7265625" bestFit="1" customWidth="1"/>
    <col min="21" max="22" width="15.7265625" bestFit="1" customWidth="1"/>
    <col min="25" max="25" width="10.54296875" bestFit="1" customWidth="1"/>
    <col min="27" max="27" width="19.54296875" bestFit="1" customWidth="1"/>
    <col min="28" max="28" width="13.54296875" bestFit="1" customWidth="1"/>
    <col min="29" max="29" width="15.81640625" bestFit="1" customWidth="1"/>
    <col min="30" max="30" width="12.1796875" bestFit="1" customWidth="1"/>
    <col min="31" max="31" width="14.81640625" bestFit="1" customWidth="1"/>
    <col min="32" max="32" width="9.453125" bestFit="1" customWidth="1"/>
    <col min="33" max="33" width="10.7265625" bestFit="1" customWidth="1"/>
    <col min="34" max="34" width="14.453125" bestFit="1" customWidth="1"/>
    <col min="35" max="35" width="15.81640625" bestFit="1" customWidth="1"/>
    <col min="36" max="36" width="13.81640625" bestFit="1" customWidth="1"/>
    <col min="37" max="37" width="14.7265625" bestFit="1" customWidth="1"/>
    <col min="38" max="38" width="12.1796875" bestFit="1" customWidth="1"/>
    <col min="39" max="39" width="11.7265625" bestFit="1" customWidth="1"/>
    <col min="40" max="40" width="13.81640625" bestFit="1" customWidth="1"/>
    <col min="41" max="41" width="12.453125" bestFit="1" customWidth="1"/>
    <col min="42" max="42" width="13.81640625" bestFit="1" customWidth="1"/>
    <col min="43" max="43" width="11.26953125" bestFit="1" customWidth="1"/>
    <col min="44" max="44" width="12.1796875" bestFit="1" customWidth="1"/>
    <col min="45" max="45" width="9.453125" bestFit="1" customWidth="1"/>
    <col min="46" max="46" width="14.26953125" bestFit="1" customWidth="1"/>
    <col min="47" max="47" width="11.453125" bestFit="1" customWidth="1"/>
    <col min="48" max="48" width="10" bestFit="1" customWidth="1"/>
    <col min="49" max="49" width="10.7265625" bestFit="1" customWidth="1"/>
    <col min="50" max="50" width="15.81640625" bestFit="1" customWidth="1"/>
    <col min="51" max="51" width="13.453125" bestFit="1" customWidth="1"/>
    <col min="52" max="52" width="15.81640625" bestFit="1" customWidth="1"/>
    <col min="53" max="53" width="11.7265625" bestFit="1" customWidth="1"/>
  </cols>
  <sheetData>
    <row r="1" spans="1:53" x14ac:dyDescent="0.35">
      <c r="A1" s="2" t="s">
        <v>67</v>
      </c>
      <c r="B1" s="2" t="s">
        <v>0</v>
      </c>
      <c r="C1" s="2" t="s">
        <v>1</v>
      </c>
      <c r="D1" s="2" t="s">
        <v>2</v>
      </c>
      <c r="E1" s="2" t="s">
        <v>68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14</v>
      </c>
      <c r="T1" s="2" t="s">
        <v>16</v>
      </c>
      <c r="U1" s="2" t="s">
        <v>14</v>
      </c>
      <c r="V1" s="2" t="s">
        <v>59</v>
      </c>
      <c r="W1" s="2" t="s">
        <v>17</v>
      </c>
      <c r="X1" s="2" t="s">
        <v>18</v>
      </c>
      <c r="Y1" s="2" t="s">
        <v>65</v>
      </c>
      <c r="Z1" s="2" t="s">
        <v>19</v>
      </c>
      <c r="AA1" s="2" t="s">
        <v>60</v>
      </c>
      <c r="AB1" s="2" t="s">
        <v>20</v>
      </c>
      <c r="AC1" s="2" t="s">
        <v>21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22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61</v>
      </c>
      <c r="AV1" s="2" t="s">
        <v>62</v>
      </c>
      <c r="AW1" s="2" t="s">
        <v>63</v>
      </c>
      <c r="AX1" s="2" t="s">
        <v>39</v>
      </c>
      <c r="AY1" s="2" t="s">
        <v>40</v>
      </c>
      <c r="AZ1" s="2" t="s">
        <v>41</v>
      </c>
      <c r="BA1" s="2" t="s">
        <v>42</v>
      </c>
    </row>
    <row r="2" spans="1:53" hidden="1" x14ac:dyDescent="0.35">
      <c r="A2" s="2" t="s">
        <v>57</v>
      </c>
      <c r="B2" s="3" t="s">
        <v>43</v>
      </c>
      <c r="C2" s="4">
        <v>0.75</v>
      </c>
      <c r="D2" s="5">
        <v>45583</v>
      </c>
      <c r="E2" s="13">
        <f>D2+C2</f>
        <v>45583.75</v>
      </c>
      <c r="F2" s="3">
        <v>0.123</v>
      </c>
      <c r="G2" s="3">
        <v>126.7</v>
      </c>
      <c r="H2" s="3">
        <v>150.1</v>
      </c>
      <c r="I2" s="3">
        <v>98</v>
      </c>
      <c r="J2" s="3">
        <v>7.0000000000000007E-2</v>
      </c>
      <c r="K2" s="3">
        <v>92</v>
      </c>
      <c r="L2" s="3">
        <v>8.92</v>
      </c>
      <c r="M2" s="3">
        <v>7.72</v>
      </c>
      <c r="N2" s="3">
        <v>16.841000000000001</v>
      </c>
      <c r="O2" s="3">
        <v>1.59</v>
      </c>
      <c r="P2" s="3">
        <v>-7.17</v>
      </c>
      <c r="Q2" s="3">
        <v>0.03</v>
      </c>
      <c r="R2" s="3">
        <v>-7.53</v>
      </c>
      <c r="S2" s="3">
        <v>0.01</v>
      </c>
      <c r="T2" s="3">
        <v>-51.28</v>
      </c>
      <c r="U2" s="3">
        <v>7.0000000000000007E-2</v>
      </c>
      <c r="V2" s="3">
        <v>-4.1000000000000002E-2</v>
      </c>
      <c r="W2" s="3">
        <v>1.881</v>
      </c>
      <c r="X2" s="3">
        <v>0.14000000000000001</v>
      </c>
      <c r="Y2" s="3"/>
      <c r="Z2" s="3">
        <v>4.7759999999999998</v>
      </c>
      <c r="AA2" s="3">
        <v>22.7</v>
      </c>
      <c r="AB2" s="3">
        <v>1.04</v>
      </c>
      <c r="AC2" s="3">
        <v>5.66</v>
      </c>
      <c r="AD2" s="3">
        <v>1.1779999999999999</v>
      </c>
      <c r="AE2" s="3">
        <v>3.0999999999999999E-3</v>
      </c>
      <c r="AF2" s="3">
        <v>1.988</v>
      </c>
      <c r="AG2" s="3">
        <v>3.5</v>
      </c>
      <c r="AH2" s="3">
        <v>50</v>
      </c>
      <c r="AI2" s="3">
        <v>10</v>
      </c>
      <c r="AJ2" s="3">
        <v>1.68542644295182</v>
      </c>
      <c r="AK2" s="3">
        <v>0.17095298741255199</v>
      </c>
      <c r="AL2" s="3">
        <v>1.2253483443089599</v>
      </c>
      <c r="AM2" s="3">
        <v>0.40987752412337097</v>
      </c>
      <c r="AN2" s="3">
        <v>0</v>
      </c>
      <c r="AO2" s="3">
        <v>2.5241520374425602E-2</v>
      </c>
      <c r="AP2" s="3">
        <v>2.3324210367099599E-2</v>
      </c>
      <c r="AQ2" s="3">
        <v>25.102130305678301</v>
      </c>
      <c r="AR2" s="3">
        <v>0.38582859907428602</v>
      </c>
      <c r="AS2" s="3">
        <v>0</v>
      </c>
      <c r="AT2" s="3">
        <v>1.9960662339271799E-4</v>
      </c>
      <c r="AU2" s="3">
        <v>5.9749999999999996</v>
      </c>
      <c r="AV2" s="3">
        <v>22.36</v>
      </c>
      <c r="AW2" s="3">
        <v>16.38</v>
      </c>
      <c r="AX2" s="1">
        <v>0.53451939599999998</v>
      </c>
      <c r="AY2" s="1">
        <v>-6.1188208990000001</v>
      </c>
      <c r="AZ2" s="1">
        <v>-5.5843015029999998</v>
      </c>
      <c r="BA2" s="3">
        <v>0.70040997900000002</v>
      </c>
    </row>
    <row r="3" spans="1:53" hidden="1" x14ac:dyDescent="0.35">
      <c r="A3" s="2" t="s">
        <v>57</v>
      </c>
      <c r="B3" s="3" t="s">
        <v>44</v>
      </c>
      <c r="C3" s="4">
        <v>0.91666666666666663</v>
      </c>
      <c r="D3" s="5">
        <v>45583</v>
      </c>
      <c r="E3" s="13">
        <f t="shared" ref="E3:E53" si="0">D3+C3</f>
        <v>45583.916666666664</v>
      </c>
      <c r="F3" s="3">
        <v>0.13700000000000001</v>
      </c>
      <c r="G3" s="3">
        <v>122.6</v>
      </c>
      <c r="H3" s="3">
        <v>150.4</v>
      </c>
      <c r="I3" s="3">
        <v>98</v>
      </c>
      <c r="J3" s="3">
        <v>7.0000000000000007E-2</v>
      </c>
      <c r="K3" s="3">
        <v>82.5</v>
      </c>
      <c r="L3" s="3">
        <v>8.27</v>
      </c>
      <c r="M3" s="3">
        <v>7.6</v>
      </c>
      <c r="N3" s="3">
        <v>15.805999999999999</v>
      </c>
      <c r="O3" s="3">
        <v>2.19</v>
      </c>
      <c r="P3" s="3">
        <v>-7.24</v>
      </c>
      <c r="Q3" s="3">
        <v>0.05</v>
      </c>
      <c r="R3" s="3">
        <v>-7.76</v>
      </c>
      <c r="S3" s="3">
        <v>0.03</v>
      </c>
      <c r="T3" s="3">
        <v>-52.64</v>
      </c>
      <c r="U3" s="3">
        <v>0.04</v>
      </c>
      <c r="V3" s="3">
        <v>-5.8000000000000003E-2</v>
      </c>
      <c r="W3" s="3">
        <v>1.8480000000000001</v>
      </c>
      <c r="X3" s="3">
        <v>0.13900000000000001</v>
      </c>
      <c r="Y3" s="3"/>
      <c r="Z3" s="3">
        <v>4.8</v>
      </c>
      <c r="AA3" s="3">
        <v>22.9</v>
      </c>
      <c r="AB3" s="3">
        <v>0.97699999999999998</v>
      </c>
      <c r="AC3" s="3">
        <v>5.69</v>
      </c>
      <c r="AD3" s="3">
        <v>1.1719999999999999</v>
      </c>
      <c r="AE3" s="3">
        <v>0</v>
      </c>
      <c r="AF3" s="3">
        <v>1.93</v>
      </c>
      <c r="AG3" s="3">
        <v>3.47</v>
      </c>
      <c r="AH3" s="3">
        <v>52</v>
      </c>
      <c r="AI3" s="3">
        <v>12</v>
      </c>
      <c r="AJ3" s="3">
        <v>3.21017525497609</v>
      </c>
      <c r="AK3" s="3">
        <v>0.35902776286122001</v>
      </c>
      <c r="AL3" s="3">
        <v>0.83307958124277903</v>
      </c>
      <c r="AM3" s="3">
        <v>0.37780025401360601</v>
      </c>
      <c r="AN3" s="3">
        <v>0</v>
      </c>
      <c r="AO3" s="3">
        <v>2.89862123647559E-2</v>
      </c>
      <c r="AP3" s="3">
        <v>3.2828469482655401E-2</v>
      </c>
      <c r="AQ3" s="3">
        <v>30.435031061240601</v>
      </c>
      <c r="AR3" s="3">
        <v>0.25586814065656399</v>
      </c>
      <c r="AS3" s="3">
        <v>0</v>
      </c>
      <c r="AT3" s="3">
        <v>9.2719374611714299E-4</v>
      </c>
      <c r="AU3" s="3">
        <v>6.1820000000000004</v>
      </c>
      <c r="AV3" s="3">
        <v>22.47</v>
      </c>
      <c r="AW3" s="3">
        <v>16.29</v>
      </c>
      <c r="AX3" s="1">
        <v>0</v>
      </c>
      <c r="AY3" s="1">
        <v>-5.4753361260000002</v>
      </c>
      <c r="AZ3" s="1">
        <v>-5.4753361260000002</v>
      </c>
      <c r="BA3" s="3">
        <v>0.62527006299999999</v>
      </c>
    </row>
    <row r="4" spans="1:53" hidden="1" x14ac:dyDescent="0.35">
      <c r="A4" s="2" t="s">
        <v>57</v>
      </c>
      <c r="B4" s="3" t="s">
        <v>45</v>
      </c>
      <c r="C4" s="4">
        <v>8.3333333333333329E-2</v>
      </c>
      <c r="D4" s="5">
        <v>45584</v>
      </c>
      <c r="E4" s="13">
        <f t="shared" si="0"/>
        <v>45584.083333333336</v>
      </c>
      <c r="F4" s="3">
        <v>0.13500000000000001</v>
      </c>
      <c r="G4" s="3">
        <v>122</v>
      </c>
      <c r="H4" s="3">
        <v>148.69999999999999</v>
      </c>
      <c r="I4" s="3">
        <v>97</v>
      </c>
      <c r="J4" s="3">
        <v>7.0000000000000007E-2</v>
      </c>
      <c r="K4" s="3">
        <v>82.3</v>
      </c>
      <c r="L4" s="3">
        <v>8.16</v>
      </c>
      <c r="M4" s="3">
        <v>7.51</v>
      </c>
      <c r="N4" s="3">
        <v>15.115</v>
      </c>
      <c r="O4" s="3">
        <v>5.04</v>
      </c>
      <c r="P4" s="3">
        <v>-7.4</v>
      </c>
      <c r="Q4" s="3">
        <v>0.03</v>
      </c>
      <c r="R4" s="3">
        <v>-7.77</v>
      </c>
      <c r="S4" s="3">
        <v>0.01</v>
      </c>
      <c r="T4" s="3">
        <v>-52.58</v>
      </c>
      <c r="U4" s="3">
        <v>0.04</v>
      </c>
      <c r="V4" s="3">
        <v>-6.2E-2</v>
      </c>
      <c r="W4" s="3">
        <v>1.8879999999999999</v>
      </c>
      <c r="X4" s="3">
        <v>0.14099999999999999</v>
      </c>
      <c r="Y4" s="3"/>
      <c r="Z4" s="3">
        <v>4.843</v>
      </c>
      <c r="AA4" s="3">
        <v>23</v>
      </c>
      <c r="AB4" s="3">
        <v>1.03</v>
      </c>
      <c r="AC4" s="3">
        <v>5.75</v>
      </c>
      <c r="AD4" s="3">
        <v>1.1779999999999999</v>
      </c>
      <c r="AE4" s="3">
        <v>5.9999999999999995E-4</v>
      </c>
      <c r="AF4" s="3">
        <v>1.9830000000000001</v>
      </c>
      <c r="AG4" s="3">
        <v>3.5</v>
      </c>
      <c r="AH4" s="3">
        <v>53</v>
      </c>
      <c r="AI4" s="3">
        <v>13</v>
      </c>
      <c r="AJ4" s="3">
        <v>2.4602917874019998</v>
      </c>
      <c r="AK4" s="3">
        <v>0.31342103984348801</v>
      </c>
      <c r="AL4" s="3">
        <v>0.90209933901624295</v>
      </c>
      <c r="AM4" s="3">
        <v>0.36503781871965102</v>
      </c>
      <c r="AN4" s="3">
        <v>0</v>
      </c>
      <c r="AO4" s="3">
        <v>3.9400420426785203E-2</v>
      </c>
      <c r="AP4" s="3">
        <v>2.85598365735058E-2</v>
      </c>
      <c r="AQ4" s="3">
        <v>29.467066607154301</v>
      </c>
      <c r="AR4" s="3">
        <v>0.17149175151051599</v>
      </c>
      <c r="AS4" s="3">
        <v>0</v>
      </c>
      <c r="AT4" s="3">
        <v>7.8813786835220899E-4</v>
      </c>
      <c r="AU4" s="3">
        <v>5.4009999999999998</v>
      </c>
      <c r="AV4" s="3">
        <v>21.84</v>
      </c>
      <c r="AW4" s="3">
        <v>16.440000000000001</v>
      </c>
      <c r="AX4" s="1">
        <v>0</v>
      </c>
      <c r="AY4" s="1">
        <v>-5.0231204009999999</v>
      </c>
      <c r="AZ4" s="1">
        <v>-5.0231204009999999</v>
      </c>
      <c r="BA4" s="3">
        <v>0.55420293899999995</v>
      </c>
    </row>
    <row r="5" spans="1:53" hidden="1" x14ac:dyDescent="0.35">
      <c r="A5" s="2" t="s">
        <v>57</v>
      </c>
      <c r="B5" s="3" t="s">
        <v>46</v>
      </c>
      <c r="C5" s="4">
        <v>0.25</v>
      </c>
      <c r="D5" s="5">
        <v>45584</v>
      </c>
      <c r="E5" s="13">
        <f t="shared" si="0"/>
        <v>45584.25</v>
      </c>
      <c r="F5" s="3">
        <v>0.153</v>
      </c>
      <c r="G5" s="3">
        <v>121.5</v>
      </c>
      <c r="H5" s="3">
        <v>152.69999999999999</v>
      </c>
      <c r="I5" s="3">
        <v>99</v>
      </c>
      <c r="J5" s="3">
        <v>7.0000000000000007E-2</v>
      </c>
      <c r="K5" s="3">
        <v>81</v>
      </c>
      <c r="L5" s="3">
        <v>8.23</v>
      </c>
      <c r="M5" s="6">
        <v>7.55</v>
      </c>
      <c r="N5" s="3">
        <v>14.629</v>
      </c>
      <c r="O5" s="3">
        <v>1.92</v>
      </c>
      <c r="P5" s="3">
        <v>-7.57</v>
      </c>
      <c r="Q5" s="3">
        <v>0.04</v>
      </c>
      <c r="R5" s="3">
        <v>-7.63</v>
      </c>
      <c r="S5" s="3">
        <v>0.03</v>
      </c>
      <c r="T5" s="3">
        <v>-51.73</v>
      </c>
      <c r="U5" s="3">
        <v>0.2</v>
      </c>
      <c r="V5" s="3">
        <v>-6.4000000000000001E-2</v>
      </c>
      <c r="W5" s="3">
        <v>1.8660000000000001</v>
      </c>
      <c r="X5" s="3">
        <v>0.13800000000000001</v>
      </c>
      <c r="Y5" s="3"/>
      <c r="Z5" s="3">
        <v>4.7949999999999999</v>
      </c>
      <c r="AA5" s="3">
        <v>23.2</v>
      </c>
      <c r="AB5" s="3">
        <v>0.96</v>
      </c>
      <c r="AC5" s="3">
        <v>5.76</v>
      </c>
      <c r="AD5" s="3">
        <v>1.1619999999999999</v>
      </c>
      <c r="AE5" s="3">
        <v>0</v>
      </c>
      <c r="AF5" s="3">
        <v>1.972</v>
      </c>
      <c r="AG5" s="3">
        <v>3.49</v>
      </c>
      <c r="AH5" s="3">
        <v>55</v>
      </c>
      <c r="AI5" s="3">
        <v>13</v>
      </c>
      <c r="AJ5" s="3">
        <v>2.8260724780383599</v>
      </c>
      <c r="AK5" s="3">
        <v>0.36472242727731802</v>
      </c>
      <c r="AL5" s="3">
        <v>2.0381836601623302</v>
      </c>
      <c r="AM5" s="3">
        <v>0.37426630425330698</v>
      </c>
      <c r="AN5" s="3">
        <v>0</v>
      </c>
      <c r="AO5" s="3">
        <v>5.0727954937981497E-2</v>
      </c>
      <c r="AP5" s="3">
        <v>7.3754282723531198E-2</v>
      </c>
      <c r="AQ5" s="3">
        <v>30.792194341247299</v>
      </c>
      <c r="AR5" s="3">
        <v>0.14462969927012101</v>
      </c>
      <c r="AS5" s="3">
        <v>0</v>
      </c>
      <c r="AT5" s="3">
        <v>-4.7716308237390198E-4</v>
      </c>
      <c r="AU5" s="3">
        <v>5.7030000000000003</v>
      </c>
      <c r="AV5" s="3">
        <v>22.46</v>
      </c>
      <c r="AW5" s="3">
        <v>16.760000000000002</v>
      </c>
      <c r="AX5" s="1">
        <v>0</v>
      </c>
      <c r="AY5" s="1">
        <v>-4.4075109770000003</v>
      </c>
      <c r="AZ5" s="1">
        <v>-4.4075109770000003</v>
      </c>
      <c r="BA5" s="3">
        <v>0.50301578199999997</v>
      </c>
    </row>
    <row r="6" spans="1:53" hidden="1" x14ac:dyDescent="0.35">
      <c r="A6" s="2" t="s">
        <v>57</v>
      </c>
      <c r="B6" s="3" t="s">
        <v>47</v>
      </c>
      <c r="C6" s="4">
        <v>0.41666666666666669</v>
      </c>
      <c r="D6" s="5">
        <v>45584</v>
      </c>
      <c r="E6" s="13">
        <f t="shared" si="0"/>
        <v>45584.416666666664</v>
      </c>
      <c r="F6" s="3">
        <v>0.16500000000000001</v>
      </c>
      <c r="G6" s="3">
        <v>123.9</v>
      </c>
      <c r="H6" s="3">
        <v>152.19999999999999</v>
      </c>
      <c r="I6" s="3">
        <v>99</v>
      </c>
      <c r="J6" s="3">
        <v>7.0000000000000007E-2</v>
      </c>
      <c r="K6" s="3">
        <v>88.3</v>
      </c>
      <c r="L6" s="3">
        <v>8.58</v>
      </c>
      <c r="M6" s="6">
        <v>7.57</v>
      </c>
      <c r="N6" s="3">
        <v>15.285</v>
      </c>
      <c r="O6" s="3">
        <v>1.87</v>
      </c>
      <c r="P6" s="3">
        <v>-7.39</v>
      </c>
      <c r="Q6" s="3">
        <v>0.02</v>
      </c>
      <c r="R6" s="3">
        <v>-7.57</v>
      </c>
      <c r="S6" s="3">
        <v>0.03</v>
      </c>
      <c r="T6" s="3">
        <v>-51.67</v>
      </c>
      <c r="U6" s="3">
        <v>0.12</v>
      </c>
      <c r="V6" s="3">
        <v>-6.2E-2</v>
      </c>
      <c r="W6" s="3">
        <v>1.8340000000000001</v>
      </c>
      <c r="X6" s="3" t="s">
        <v>48</v>
      </c>
      <c r="Y6" s="3"/>
      <c r="Z6" s="3">
        <v>4.7759999999999998</v>
      </c>
      <c r="AA6" s="3">
        <v>22.9</v>
      </c>
      <c r="AB6" s="3">
        <v>0.90800000000000003</v>
      </c>
      <c r="AC6" s="3">
        <v>5.72</v>
      </c>
      <c r="AD6" s="3">
        <v>1.1279999999999999</v>
      </c>
      <c r="AE6" s="3">
        <v>0</v>
      </c>
      <c r="AF6" s="3">
        <v>1.919</v>
      </c>
      <c r="AG6" s="3">
        <v>3.46</v>
      </c>
      <c r="AH6" s="3">
        <v>48</v>
      </c>
      <c r="AI6" s="3">
        <v>10</v>
      </c>
      <c r="AJ6" s="3">
        <v>2.0794501571375799</v>
      </c>
      <c r="AK6" s="3">
        <v>0.51449030528322504</v>
      </c>
      <c r="AL6" s="3">
        <v>0.449315551926177</v>
      </c>
      <c r="AM6" s="3">
        <v>0.45166395938677001</v>
      </c>
      <c r="AN6" s="3">
        <v>0.92123753342519099</v>
      </c>
      <c r="AO6" s="3">
        <v>3.19613527545912E-2</v>
      </c>
      <c r="AP6" s="3">
        <v>3.0714882627951402E-2</v>
      </c>
      <c r="AQ6" s="3">
        <v>36.3274172102644</v>
      </c>
      <c r="AR6" s="3">
        <v>0.104102757603259</v>
      </c>
      <c r="AS6" s="3">
        <v>0</v>
      </c>
      <c r="AT6" s="3">
        <v>9.5159294339436905E-4</v>
      </c>
      <c r="AU6" s="3">
        <v>5.54</v>
      </c>
      <c r="AV6" s="3">
        <v>22.11</v>
      </c>
      <c r="AW6" s="3">
        <v>16.57</v>
      </c>
      <c r="AX6" s="1">
        <v>5.442636781</v>
      </c>
      <c r="AY6" s="1">
        <v>-5.1138404230000001</v>
      </c>
      <c r="AZ6" s="1">
        <v>0.32879635800000001</v>
      </c>
      <c r="BA6" s="3">
        <v>0.42507413500000002</v>
      </c>
    </row>
    <row r="7" spans="1:53" hidden="1" x14ac:dyDescent="0.35">
      <c r="A7" s="2" t="s">
        <v>57</v>
      </c>
      <c r="B7" s="3" t="s">
        <v>49</v>
      </c>
      <c r="C7" s="7">
        <v>0.58333333333333337</v>
      </c>
      <c r="D7" s="5">
        <v>45584</v>
      </c>
      <c r="E7" s="13">
        <f t="shared" si="0"/>
        <v>45584.583333333336</v>
      </c>
      <c r="F7" s="3">
        <v>0.13400000000000001</v>
      </c>
      <c r="G7" s="6">
        <v>127.5</v>
      </c>
      <c r="H7" s="6">
        <v>151.69999999999999</v>
      </c>
      <c r="I7" s="6">
        <v>99</v>
      </c>
      <c r="J7" s="6">
        <v>7.0000000000000007E-2</v>
      </c>
      <c r="K7" s="3">
        <v>91.7</v>
      </c>
      <c r="L7" s="3">
        <v>8.9</v>
      </c>
      <c r="M7" s="6">
        <v>7.6</v>
      </c>
      <c r="N7" s="3">
        <v>16.774000000000001</v>
      </c>
      <c r="O7" s="6">
        <v>2.0499999999999998</v>
      </c>
      <c r="P7" s="3">
        <v>-7.14</v>
      </c>
      <c r="Q7" s="3">
        <v>0.02</v>
      </c>
      <c r="R7" s="3">
        <v>-7.54</v>
      </c>
      <c r="S7" s="3">
        <v>0.03</v>
      </c>
      <c r="T7" s="3">
        <v>-51.5</v>
      </c>
      <c r="U7" s="3">
        <v>0.21</v>
      </c>
      <c r="V7" s="3">
        <v>-6.3E-2</v>
      </c>
      <c r="W7" s="3">
        <v>1.8460000000000001</v>
      </c>
      <c r="X7" s="3">
        <v>0.14499999999999999</v>
      </c>
      <c r="Y7" s="3"/>
      <c r="Z7" s="3">
        <v>4.8259999999999996</v>
      </c>
      <c r="AA7" s="3">
        <v>22.6</v>
      </c>
      <c r="AB7" s="3">
        <v>0.98199999999999998</v>
      </c>
      <c r="AC7" s="3">
        <v>5.7</v>
      </c>
      <c r="AD7" s="3">
        <v>1.1439999999999999</v>
      </c>
      <c r="AE7" s="3">
        <v>5.9999999999999995E-4</v>
      </c>
      <c r="AF7" s="3">
        <v>1.944</v>
      </c>
      <c r="AG7" s="3">
        <v>3.51</v>
      </c>
      <c r="AH7" s="3">
        <v>46</v>
      </c>
      <c r="AI7" s="3">
        <v>11</v>
      </c>
      <c r="AJ7" s="3">
        <v>2.1667168244999302</v>
      </c>
      <c r="AK7" s="3">
        <v>0.45983770704409099</v>
      </c>
      <c r="AL7" s="3">
        <v>0.55926644939919901</v>
      </c>
      <c r="AM7" s="3">
        <v>0.43204311825934699</v>
      </c>
      <c r="AN7" s="3">
        <v>0.63174737553315496</v>
      </c>
      <c r="AO7" s="3">
        <v>2.5757106827943299E-2</v>
      </c>
      <c r="AP7" s="3">
        <v>2.7650950330738298E-2</v>
      </c>
      <c r="AQ7" s="3">
        <v>33.692801905581597</v>
      </c>
      <c r="AR7" s="3">
        <v>8.3922003651167407E-2</v>
      </c>
      <c r="AS7" s="3">
        <v>0</v>
      </c>
      <c r="AT7" s="3">
        <v>2.9028528169254101E-5</v>
      </c>
      <c r="AU7" s="3">
        <v>5.5570000000000004</v>
      </c>
      <c r="AV7" s="3">
        <v>22.18</v>
      </c>
      <c r="AW7" s="3">
        <v>16.62</v>
      </c>
      <c r="AX7" s="1">
        <v>10.048132109999999</v>
      </c>
      <c r="AY7" s="1">
        <v>-6.5099984940000004</v>
      </c>
      <c r="AZ7" s="1">
        <v>3.5381336179999998</v>
      </c>
      <c r="BA7" s="3">
        <v>0.58677763400000005</v>
      </c>
    </row>
    <row r="8" spans="1:53" hidden="1" x14ac:dyDescent="0.35">
      <c r="A8" s="2" t="s">
        <v>57</v>
      </c>
      <c r="B8" s="3" t="s">
        <v>50</v>
      </c>
      <c r="C8" s="4">
        <v>0.75</v>
      </c>
      <c r="D8" s="5">
        <v>45584</v>
      </c>
      <c r="E8" s="13">
        <f t="shared" si="0"/>
        <v>45584.75</v>
      </c>
      <c r="F8" s="3">
        <v>0.125</v>
      </c>
      <c r="G8" s="3">
        <v>130.30000000000001</v>
      </c>
      <c r="H8" s="3">
        <v>154.6</v>
      </c>
      <c r="I8" s="3">
        <v>100</v>
      </c>
      <c r="J8" s="3">
        <v>7.0000000000000007E-2</v>
      </c>
      <c r="K8" s="6">
        <v>88.2</v>
      </c>
      <c r="L8" s="6">
        <v>8.8800000000000008</v>
      </c>
      <c r="M8" s="3">
        <v>7.85</v>
      </c>
      <c r="N8" s="6">
        <v>16.649000000000001</v>
      </c>
      <c r="O8" s="3">
        <v>1.61</v>
      </c>
      <c r="P8" s="3">
        <v>-7.03</v>
      </c>
      <c r="Q8" s="3">
        <v>0.04</v>
      </c>
      <c r="R8" s="3">
        <v>-7.48</v>
      </c>
      <c r="S8" s="3">
        <v>0.03</v>
      </c>
      <c r="T8" s="3">
        <v>-51.24</v>
      </c>
      <c r="U8" s="3">
        <v>0.08</v>
      </c>
      <c r="V8" s="3">
        <v>-6.0999999999999999E-2</v>
      </c>
      <c r="W8" s="3">
        <v>1.84</v>
      </c>
      <c r="X8" s="3">
        <v>0.13900000000000001</v>
      </c>
      <c r="Y8" s="3"/>
      <c r="Z8" s="3">
        <v>4.7990000000000004</v>
      </c>
      <c r="AA8" s="3">
        <v>22</v>
      </c>
      <c r="AB8" s="3">
        <v>0.94699999999999995</v>
      </c>
      <c r="AC8" s="3">
        <v>5.64</v>
      </c>
      <c r="AD8" s="3">
        <v>1.135</v>
      </c>
      <c r="AE8" s="3">
        <v>0</v>
      </c>
      <c r="AF8" s="3">
        <v>1.9330000000000001</v>
      </c>
      <c r="AG8" s="3">
        <v>3.52</v>
      </c>
      <c r="AH8" s="3">
        <v>39</v>
      </c>
      <c r="AI8" s="3">
        <v>11</v>
      </c>
      <c r="AJ8" s="3">
        <v>2.2750177294567</v>
      </c>
      <c r="AK8" s="3">
        <v>0.45707655769927802</v>
      </c>
      <c r="AL8" s="3">
        <v>0.439383000171781</v>
      </c>
      <c r="AM8" s="3">
        <v>0.42001066828615902</v>
      </c>
      <c r="AN8" s="3">
        <v>0.440334116583807</v>
      </c>
      <c r="AO8" s="3">
        <v>3.72058613196787E-2</v>
      </c>
      <c r="AP8" s="3">
        <v>3.1766038647122997E-2</v>
      </c>
      <c r="AQ8" s="3">
        <v>33.701381918905803</v>
      </c>
      <c r="AR8" s="3">
        <v>9.6174839515520805E-2</v>
      </c>
      <c r="AS8" s="3">
        <v>0</v>
      </c>
      <c r="AT8" s="3">
        <v>7.4723340364984497E-5</v>
      </c>
      <c r="AU8" s="3">
        <v>5.7750000000000004</v>
      </c>
      <c r="AV8" s="3">
        <v>22.45</v>
      </c>
      <c r="AW8" s="3">
        <v>16.670000000000002</v>
      </c>
      <c r="AX8" s="1">
        <v>3.0850346059999998</v>
      </c>
      <c r="AY8" s="1">
        <v>-6.4043236879999998</v>
      </c>
      <c r="AZ8" s="1">
        <v>-3.3192890820000001</v>
      </c>
      <c r="BA8" s="3">
        <v>0.53863512199999997</v>
      </c>
    </row>
    <row r="9" spans="1:53" hidden="1" x14ac:dyDescent="0.35">
      <c r="A9" s="2" t="s">
        <v>57</v>
      </c>
      <c r="B9" s="3" t="s">
        <v>51</v>
      </c>
      <c r="C9" s="7">
        <v>0.91666666666666663</v>
      </c>
      <c r="D9" s="5">
        <v>45584</v>
      </c>
      <c r="E9" s="13">
        <f t="shared" si="0"/>
        <v>45584.916666666664</v>
      </c>
      <c r="F9" s="3">
        <v>0.13300000000000001</v>
      </c>
      <c r="G9" s="6">
        <v>124.9</v>
      </c>
      <c r="H9" s="6">
        <v>151.19999999999999</v>
      </c>
      <c r="I9" s="6">
        <v>98</v>
      </c>
      <c r="J9" s="6">
        <v>7.0000000000000007E-2</v>
      </c>
      <c r="K9" s="6">
        <v>86.1</v>
      </c>
      <c r="L9" s="6">
        <v>8.68</v>
      </c>
      <c r="M9" s="6">
        <v>7.58</v>
      </c>
      <c r="N9" s="6">
        <v>15.881</v>
      </c>
      <c r="O9" s="6">
        <v>1.55</v>
      </c>
      <c r="P9" s="3">
        <v>-7.37</v>
      </c>
      <c r="Q9" s="3">
        <v>0.02</v>
      </c>
      <c r="R9" s="3">
        <v>-7.57</v>
      </c>
      <c r="S9" s="3">
        <v>0.01</v>
      </c>
      <c r="T9" s="3">
        <v>-51.4</v>
      </c>
      <c r="U9" s="3">
        <v>0.11</v>
      </c>
      <c r="V9" s="3">
        <v>-6.4000000000000001E-2</v>
      </c>
      <c r="W9" s="3">
        <v>1.831</v>
      </c>
      <c r="X9" s="3" t="s">
        <v>48</v>
      </c>
      <c r="Y9" s="3"/>
      <c r="Z9" s="3">
        <v>4.7949999999999999</v>
      </c>
      <c r="AA9" s="3">
        <v>23</v>
      </c>
      <c r="AB9" s="3">
        <v>0.89500000000000002</v>
      </c>
      <c r="AC9" s="3">
        <v>5.72</v>
      </c>
      <c r="AD9" s="3">
        <v>1.1419999999999999</v>
      </c>
      <c r="AE9" s="3">
        <v>1.5E-3</v>
      </c>
      <c r="AF9" s="3">
        <v>1.9510000000000001</v>
      </c>
      <c r="AG9" s="3">
        <v>3.48</v>
      </c>
      <c r="AH9" s="3">
        <v>53</v>
      </c>
      <c r="AI9" s="3">
        <v>12</v>
      </c>
      <c r="AJ9" s="3">
        <v>2.3131285848335099</v>
      </c>
      <c r="AK9" s="3">
        <v>0.38694709677258798</v>
      </c>
      <c r="AL9" s="3">
        <v>0.69230811722584995</v>
      </c>
      <c r="AM9" s="3">
        <v>0.40485077088326699</v>
      </c>
      <c r="AN9" s="3">
        <v>0.119630961152156</v>
      </c>
      <c r="AO9" s="3">
        <v>3.8670997584804002E-2</v>
      </c>
      <c r="AP9" s="3">
        <v>2.7269711367247599E-2</v>
      </c>
      <c r="AQ9" s="3">
        <v>32.701234978676602</v>
      </c>
      <c r="AR9" s="3">
        <v>7.9281235091594807E-2</v>
      </c>
      <c r="AS9" s="3">
        <v>0</v>
      </c>
      <c r="AT9" s="3">
        <v>-9.4234573259984497E-4</v>
      </c>
      <c r="AU9" s="3">
        <v>5.5789999999999997</v>
      </c>
      <c r="AV9" s="3">
        <v>22.28</v>
      </c>
      <c r="AW9" s="3">
        <v>16.7</v>
      </c>
      <c r="AX9" s="1">
        <v>0</v>
      </c>
      <c r="AY9" s="1">
        <v>-5.6877160419999999</v>
      </c>
      <c r="AZ9" s="1">
        <v>-5.6877160419999999</v>
      </c>
      <c r="BA9" s="3">
        <v>0.65327382300000003</v>
      </c>
    </row>
    <row r="10" spans="1:53" hidden="1" x14ac:dyDescent="0.35">
      <c r="A10" s="2" t="s">
        <v>57</v>
      </c>
      <c r="B10" s="3" t="s">
        <v>52</v>
      </c>
      <c r="C10" s="4">
        <v>8.3333333333333329E-2</v>
      </c>
      <c r="D10" s="5">
        <v>45585</v>
      </c>
      <c r="E10" s="13">
        <f t="shared" si="0"/>
        <v>45585.083333333336</v>
      </c>
      <c r="F10" s="3">
        <v>0.127</v>
      </c>
      <c r="G10" s="3">
        <v>123.8</v>
      </c>
      <c r="H10" s="3">
        <v>152.5</v>
      </c>
      <c r="I10" s="3">
        <v>99</v>
      </c>
      <c r="J10" s="3">
        <v>7.0000000000000007E-2</v>
      </c>
      <c r="K10" s="3">
        <v>82.8</v>
      </c>
      <c r="L10" s="3">
        <v>8.32</v>
      </c>
      <c r="M10" s="3">
        <v>7.53</v>
      </c>
      <c r="N10" s="3">
        <v>15.144</v>
      </c>
      <c r="O10" s="6">
        <v>2.76</v>
      </c>
      <c r="P10" s="3">
        <v>-7.53</v>
      </c>
      <c r="Q10" s="3">
        <v>0.03</v>
      </c>
      <c r="R10" s="3">
        <v>-7.46</v>
      </c>
      <c r="S10" s="3">
        <v>0.06</v>
      </c>
      <c r="T10" s="3">
        <v>-51.18</v>
      </c>
      <c r="U10" s="3">
        <v>0.21</v>
      </c>
      <c r="V10" s="3">
        <v>-6.2E-2</v>
      </c>
      <c r="W10" s="3">
        <v>1.849</v>
      </c>
      <c r="X10" s="3" t="s">
        <v>48</v>
      </c>
      <c r="Y10" s="3"/>
      <c r="Z10" s="3">
        <v>4.798</v>
      </c>
      <c r="AA10" s="3">
        <v>23.1</v>
      </c>
      <c r="AB10" s="3">
        <v>0.874</v>
      </c>
      <c r="AC10" s="3">
        <v>5.74</v>
      </c>
      <c r="AD10" s="3">
        <v>1.133</v>
      </c>
      <c r="AE10" s="3">
        <v>3.8999999999999998E-3</v>
      </c>
      <c r="AF10" s="3">
        <v>1.9430000000000001</v>
      </c>
      <c r="AG10" s="3">
        <v>3.47</v>
      </c>
      <c r="AH10" s="3">
        <v>58</v>
      </c>
      <c r="AI10" s="3">
        <v>13</v>
      </c>
      <c r="AJ10" s="3">
        <v>2.53184884063438</v>
      </c>
      <c r="AK10" s="3">
        <v>0.513610635325082</v>
      </c>
      <c r="AL10" s="3">
        <v>0.91383989664285203</v>
      </c>
      <c r="AM10" s="3">
        <v>0.434222924694114</v>
      </c>
      <c r="AN10" s="3">
        <v>0.84630647262098002</v>
      </c>
      <c r="AO10" s="3">
        <v>3.93796212967586E-2</v>
      </c>
      <c r="AP10" s="3">
        <v>2.83384705102948E-2</v>
      </c>
      <c r="AQ10" s="3">
        <v>35.452103157179401</v>
      </c>
      <c r="AR10" s="3">
        <v>7.02455474299995E-2</v>
      </c>
      <c r="AS10" s="3">
        <v>0</v>
      </c>
      <c r="AT10" s="3">
        <v>-2.9066904732678698E-4</v>
      </c>
      <c r="AU10" s="3">
        <v>5.3</v>
      </c>
      <c r="AV10" s="3">
        <v>22.11</v>
      </c>
      <c r="AW10" s="3">
        <v>16.809999999999999</v>
      </c>
      <c r="AX10" s="1">
        <v>0</v>
      </c>
      <c r="AY10" s="1">
        <v>-5.2279688760000003</v>
      </c>
      <c r="AZ10" s="1">
        <v>-5.2279688760000003</v>
      </c>
      <c r="BA10" s="3">
        <v>0.49952490100000002</v>
      </c>
    </row>
    <row r="11" spans="1:53" hidden="1" x14ac:dyDescent="0.35">
      <c r="A11" s="2" t="s">
        <v>57</v>
      </c>
      <c r="B11" s="3" t="s">
        <v>53</v>
      </c>
      <c r="C11" s="4">
        <v>0.25</v>
      </c>
      <c r="D11" s="5">
        <v>45585</v>
      </c>
      <c r="E11" s="13">
        <f t="shared" si="0"/>
        <v>45585.25</v>
      </c>
      <c r="F11" s="3">
        <v>0.13</v>
      </c>
      <c r="G11" s="3">
        <v>121</v>
      </c>
      <c r="H11" s="3">
        <v>150.9</v>
      </c>
      <c r="I11" s="3">
        <v>98</v>
      </c>
      <c r="J11" s="3">
        <v>7.0000000000000007E-2</v>
      </c>
      <c r="K11" s="3">
        <v>82.8</v>
      </c>
      <c r="L11" s="3">
        <v>8.42</v>
      </c>
      <c r="M11" s="3">
        <v>7.52</v>
      </c>
      <c r="N11" s="3">
        <v>14.622</v>
      </c>
      <c r="O11" s="3">
        <v>1.97</v>
      </c>
      <c r="P11" s="3">
        <v>-7.69</v>
      </c>
      <c r="Q11" s="3">
        <v>0.02</v>
      </c>
      <c r="R11" s="3">
        <v>-7.53</v>
      </c>
      <c r="S11" s="3">
        <v>0.02</v>
      </c>
      <c r="T11" s="3">
        <v>-51.33</v>
      </c>
      <c r="U11" s="3">
        <v>0.05</v>
      </c>
      <c r="V11" s="3">
        <v>-6.5000000000000002E-2</v>
      </c>
      <c r="W11" s="3">
        <v>1.8180000000000001</v>
      </c>
      <c r="X11" s="3" t="s">
        <v>48</v>
      </c>
      <c r="Y11" s="3"/>
      <c r="Z11" s="3">
        <v>4.8719999999999999</v>
      </c>
      <c r="AA11" s="3">
        <v>23.3</v>
      </c>
      <c r="AB11" s="3">
        <v>0.89300000000000002</v>
      </c>
      <c r="AC11" s="3">
        <v>5.78</v>
      </c>
      <c r="AD11" s="3">
        <v>1.1439999999999999</v>
      </c>
      <c r="AE11" s="3">
        <v>-4.1000000000000003E-3</v>
      </c>
      <c r="AF11" s="3">
        <v>1.9570000000000001</v>
      </c>
      <c r="AG11" s="3">
        <v>3.49</v>
      </c>
      <c r="AH11" s="3">
        <v>62</v>
      </c>
      <c r="AI11" s="3">
        <v>13</v>
      </c>
      <c r="AJ11" s="3">
        <v>2.3071447714876401</v>
      </c>
      <c r="AK11" s="3">
        <v>0.50482847110850304</v>
      </c>
      <c r="AL11" s="3">
        <v>0.58044016394256204</v>
      </c>
      <c r="AM11" s="3">
        <v>0.42787812763487398</v>
      </c>
      <c r="AN11" s="3">
        <v>0.73855076936128305</v>
      </c>
      <c r="AO11" s="3">
        <v>3.4622296740044203E-2</v>
      </c>
      <c r="AP11" s="3">
        <v>2.96274919783934E-2</v>
      </c>
      <c r="AQ11" s="3">
        <v>36.141131548079201</v>
      </c>
      <c r="AR11" s="3">
        <v>6.33950669578838E-2</v>
      </c>
      <c r="AS11" s="3">
        <v>0</v>
      </c>
      <c r="AT11" s="3">
        <v>-1.0580738270491699E-3</v>
      </c>
      <c r="AU11" s="3">
        <v>5.5590000000000002</v>
      </c>
      <c r="AV11" s="3">
        <v>22.6</v>
      </c>
      <c r="AW11" s="3">
        <v>17.04</v>
      </c>
      <c r="AX11" s="1">
        <v>0</v>
      </c>
      <c r="AY11" s="1">
        <v>-4.7039559950000003</v>
      </c>
      <c r="AZ11" s="1">
        <v>-4.7039559950000003</v>
      </c>
      <c r="BA11" s="3">
        <v>0.42133188300000002</v>
      </c>
    </row>
    <row r="12" spans="1:53" hidden="1" x14ac:dyDescent="0.35">
      <c r="A12" s="2" t="s">
        <v>57</v>
      </c>
      <c r="B12" s="3" t="s">
        <v>54</v>
      </c>
      <c r="C12" s="4">
        <v>0.41666666666666669</v>
      </c>
      <c r="D12" s="5">
        <v>45585</v>
      </c>
      <c r="E12" s="13">
        <f t="shared" si="0"/>
        <v>45585.416666666664</v>
      </c>
      <c r="F12" s="3">
        <v>0.13100000000000001</v>
      </c>
      <c r="G12" s="3">
        <v>122.2</v>
      </c>
      <c r="H12" s="3">
        <v>150.30000000000001</v>
      </c>
      <c r="I12" s="3">
        <v>98</v>
      </c>
      <c r="J12" s="3">
        <v>7.0000000000000007E-2</v>
      </c>
      <c r="K12" s="3">
        <v>87.7</v>
      </c>
      <c r="L12" s="3">
        <v>8.65</v>
      </c>
      <c r="M12" s="6">
        <v>7.59</v>
      </c>
      <c r="N12" s="3">
        <v>15.195</v>
      </c>
      <c r="O12" s="3">
        <v>1.98</v>
      </c>
      <c r="P12" s="3">
        <v>-7.57</v>
      </c>
      <c r="Q12" s="3">
        <v>0.02</v>
      </c>
      <c r="R12" s="3">
        <v>-7.62</v>
      </c>
      <c r="S12" s="3">
        <v>0.03</v>
      </c>
      <c r="T12" s="3">
        <v>-51.6</v>
      </c>
      <c r="U12" s="3">
        <v>0.14000000000000001</v>
      </c>
      <c r="V12" s="3">
        <v>-6.3E-2</v>
      </c>
      <c r="W12" s="3">
        <v>1.851</v>
      </c>
      <c r="X12" s="3" t="s">
        <v>48</v>
      </c>
      <c r="Y12" s="3"/>
      <c r="Z12" s="3">
        <v>4.742</v>
      </c>
      <c r="AA12" s="3">
        <v>23.2</v>
      </c>
      <c r="AB12" s="3">
        <v>0.92100000000000004</v>
      </c>
      <c r="AC12" s="3">
        <v>5.75</v>
      </c>
      <c r="AD12" s="3">
        <v>1.123</v>
      </c>
      <c r="AE12" s="3">
        <v>-4.7999999999999996E-3</v>
      </c>
      <c r="AF12" s="3">
        <v>1.893</v>
      </c>
      <c r="AG12" s="3">
        <v>3.47</v>
      </c>
      <c r="AH12" s="3">
        <v>54</v>
      </c>
      <c r="AI12" s="3">
        <v>12</v>
      </c>
      <c r="AJ12" s="3">
        <v>1.8136965125107301</v>
      </c>
      <c r="AK12" s="3">
        <v>0.31567609071849201</v>
      </c>
      <c r="AL12" s="3">
        <v>0.57063579858719404</v>
      </c>
      <c r="AM12" s="3">
        <v>0.37191755748156602</v>
      </c>
      <c r="AN12" s="3">
        <v>0</v>
      </c>
      <c r="AO12" s="3">
        <v>3.7079484590612298E-2</v>
      </c>
      <c r="AP12" s="3">
        <v>3.2178146389820202E-2</v>
      </c>
      <c r="AQ12" s="3">
        <v>30.267313671808001</v>
      </c>
      <c r="AR12" s="3">
        <v>0.56832900853770496</v>
      </c>
      <c r="AS12" s="3">
        <v>0</v>
      </c>
      <c r="AT12" s="3">
        <v>-1.1030590434577001E-3</v>
      </c>
      <c r="AU12" s="3">
        <v>5.4050000000000002</v>
      </c>
      <c r="AV12" s="3">
        <v>22.29</v>
      </c>
      <c r="AW12" s="3">
        <v>16.88</v>
      </c>
      <c r="AX12" s="1">
        <v>5.3889571570000001</v>
      </c>
      <c r="AY12" s="1">
        <v>-5.2415449169999997</v>
      </c>
      <c r="AZ12" s="1">
        <v>0.14741224</v>
      </c>
      <c r="BA12" s="3">
        <v>0.426480478</v>
      </c>
    </row>
    <row r="13" spans="1:53" hidden="1" x14ac:dyDescent="0.35">
      <c r="A13" s="2" t="s">
        <v>57</v>
      </c>
      <c r="B13" s="3" t="s">
        <v>55</v>
      </c>
      <c r="C13" s="4">
        <v>0.58333333333333337</v>
      </c>
      <c r="D13" s="5">
        <v>45585</v>
      </c>
      <c r="E13" s="13">
        <f t="shared" si="0"/>
        <v>45585.583333333336</v>
      </c>
      <c r="F13" s="3">
        <v>0.104</v>
      </c>
      <c r="G13" s="3">
        <v>132.69999999999999</v>
      </c>
      <c r="H13" s="3">
        <v>153.19999999999999</v>
      </c>
      <c r="I13" s="3">
        <v>100</v>
      </c>
      <c r="J13" s="3">
        <v>7.0000000000000007E-2</v>
      </c>
      <c r="K13" s="3">
        <v>91.9</v>
      </c>
      <c r="L13" s="3">
        <v>8.6999999999999993</v>
      </c>
      <c r="M13" s="3">
        <v>7.7</v>
      </c>
      <c r="N13" s="3">
        <v>17.988</v>
      </c>
      <c r="O13" s="3">
        <v>2.39</v>
      </c>
      <c r="P13" s="3">
        <v>-7.19</v>
      </c>
      <c r="Q13" s="3">
        <v>0.04</v>
      </c>
      <c r="R13" s="3">
        <v>-7.51</v>
      </c>
      <c r="S13" s="3">
        <v>0.03</v>
      </c>
      <c r="T13" s="3">
        <v>-51.45</v>
      </c>
      <c r="U13" s="3">
        <v>0.04</v>
      </c>
      <c r="V13" s="3">
        <v>-6.4000000000000001E-2</v>
      </c>
      <c r="W13" s="3">
        <v>1.796</v>
      </c>
      <c r="X13" s="3" t="s">
        <v>48</v>
      </c>
      <c r="Y13" s="3"/>
      <c r="Z13" s="3">
        <v>4.6900000000000004</v>
      </c>
      <c r="AA13" s="3">
        <v>23.1</v>
      </c>
      <c r="AB13" s="3">
        <v>0.95399999999999996</v>
      </c>
      <c r="AC13" s="3">
        <v>5.73</v>
      </c>
      <c r="AD13" s="3">
        <v>1.1100000000000001</v>
      </c>
      <c r="AE13" s="3">
        <v>0</v>
      </c>
      <c r="AF13" s="3">
        <v>1.917</v>
      </c>
      <c r="AG13" s="3">
        <v>3.49</v>
      </c>
      <c r="AH13" s="3">
        <v>46</v>
      </c>
      <c r="AI13" s="3">
        <v>11</v>
      </c>
      <c r="AJ13" s="3">
        <v>2.2874695889715602</v>
      </c>
      <c r="AK13" s="3">
        <v>0.47456217989771998</v>
      </c>
      <c r="AL13" s="3">
        <v>0.48469337992584499</v>
      </c>
      <c r="AM13" s="3">
        <v>0.45006635336978301</v>
      </c>
      <c r="AN13" s="3">
        <v>1.0839081372791901</v>
      </c>
      <c r="AO13" s="3">
        <v>3.4334962289647497E-2</v>
      </c>
      <c r="AP13" s="3">
        <v>3.2481714214020102E-2</v>
      </c>
      <c r="AQ13" s="3">
        <v>35.198071217450199</v>
      </c>
      <c r="AR13" s="3">
        <v>0.30800270306376298</v>
      </c>
      <c r="AS13" s="3">
        <v>0</v>
      </c>
      <c r="AT13" s="3">
        <v>-3.48888358318535E-5</v>
      </c>
      <c r="AU13" s="3">
        <v>5.5060000000000002</v>
      </c>
      <c r="AV13" s="3">
        <v>22.18</v>
      </c>
      <c r="AW13" s="3">
        <v>16.68</v>
      </c>
      <c r="AX13" s="1">
        <v>9.9810993559999996</v>
      </c>
      <c r="AY13" s="1">
        <v>-6.6732097469999996</v>
      </c>
      <c r="AZ13" s="1">
        <v>3.3078896100000001</v>
      </c>
      <c r="BA13" s="3">
        <v>0.62912514200000003</v>
      </c>
    </row>
    <row r="14" spans="1:53" hidden="1" x14ac:dyDescent="0.35">
      <c r="A14" s="2" t="s">
        <v>57</v>
      </c>
      <c r="B14" s="3" t="s">
        <v>56</v>
      </c>
      <c r="C14" s="4">
        <v>0.75</v>
      </c>
      <c r="D14" s="5">
        <v>45585</v>
      </c>
      <c r="E14" s="13">
        <f t="shared" si="0"/>
        <v>45585.75</v>
      </c>
      <c r="F14" s="3">
        <v>9.5000000000000001E-2</v>
      </c>
      <c r="G14" s="3">
        <v>133.19999999999999</v>
      </c>
      <c r="H14" s="3">
        <v>155.80000000000001</v>
      </c>
      <c r="I14" s="3">
        <v>101</v>
      </c>
      <c r="J14" s="3">
        <v>7.0000000000000007E-2</v>
      </c>
      <c r="K14" s="3">
        <v>89.9</v>
      </c>
      <c r="L14" s="3">
        <v>8.6199999999999992</v>
      </c>
      <c r="M14" s="3">
        <v>7.81</v>
      </c>
      <c r="N14" s="3">
        <v>17.385999999999999</v>
      </c>
      <c r="O14" s="3">
        <v>1.31</v>
      </c>
      <c r="P14" s="3">
        <v>-7.27</v>
      </c>
      <c r="Q14" s="3">
        <v>0.02</v>
      </c>
      <c r="R14" s="3">
        <v>-7.58</v>
      </c>
      <c r="S14" s="3">
        <v>0.02</v>
      </c>
      <c r="T14" s="3">
        <v>-51.32</v>
      </c>
      <c r="U14" s="3">
        <v>0.04</v>
      </c>
      <c r="V14" s="3">
        <v>-6.2E-2</v>
      </c>
      <c r="W14" s="3">
        <v>1.829</v>
      </c>
      <c r="X14" s="3" t="s">
        <v>48</v>
      </c>
      <c r="Y14" s="3"/>
      <c r="Z14" s="3">
        <v>4.7640000000000002</v>
      </c>
      <c r="AA14" s="3">
        <v>23</v>
      </c>
      <c r="AB14" s="3">
        <v>0.88</v>
      </c>
      <c r="AC14" s="3">
        <v>5.72</v>
      </c>
      <c r="AD14" s="3">
        <v>1.1180000000000001</v>
      </c>
      <c r="AE14" s="3">
        <v>-4.4000000000000003E-3</v>
      </c>
      <c r="AF14" s="3">
        <v>1.911</v>
      </c>
      <c r="AG14" s="3">
        <v>3.46</v>
      </c>
      <c r="AH14" s="3">
        <v>45</v>
      </c>
      <c r="AI14" s="3">
        <v>10</v>
      </c>
      <c r="AJ14" s="3">
        <v>1.5158655659042799</v>
      </c>
      <c r="AK14" s="3">
        <v>0.17608678869863101</v>
      </c>
      <c r="AL14" s="3">
        <v>0.252180172599684</v>
      </c>
      <c r="AM14" s="3">
        <v>0.31328155111646999</v>
      </c>
      <c r="AN14" s="3">
        <v>0</v>
      </c>
      <c r="AO14" s="3">
        <v>3.01335164458293E-2</v>
      </c>
      <c r="AP14" s="3">
        <v>2.06216961960013E-2</v>
      </c>
      <c r="AQ14" s="3">
        <v>24.987249568030201</v>
      </c>
      <c r="AR14" s="3">
        <v>0.18911310913867799</v>
      </c>
      <c r="AS14" s="3">
        <v>0</v>
      </c>
      <c r="AT14" s="3">
        <v>-1.41375344341467E-3</v>
      </c>
      <c r="AU14" s="3">
        <v>5.6070000000000002</v>
      </c>
      <c r="AV14" s="3">
        <v>22.28</v>
      </c>
      <c r="AW14" s="3">
        <v>16.670000000000002</v>
      </c>
      <c r="AX14" s="1">
        <v>3.0190799479999999</v>
      </c>
      <c r="AY14" s="1">
        <v>-6.5736451740000001</v>
      </c>
      <c r="AZ14" s="1">
        <v>-3.5545652269999999</v>
      </c>
      <c r="BA14" s="3">
        <v>0.63497127200000003</v>
      </c>
    </row>
    <row r="15" spans="1:53" hidden="1" x14ac:dyDescent="0.35">
      <c r="A15" s="2" t="s">
        <v>64</v>
      </c>
      <c r="B15" s="1" t="s">
        <v>43</v>
      </c>
      <c r="C15" s="4">
        <v>0.75</v>
      </c>
      <c r="D15" s="5">
        <v>45695</v>
      </c>
      <c r="E15" s="13">
        <f t="shared" si="0"/>
        <v>45695.75</v>
      </c>
      <c r="F15" s="3">
        <v>0.123</v>
      </c>
      <c r="G15" s="3">
        <v>87.3</v>
      </c>
      <c r="H15" s="3">
        <v>118.7</v>
      </c>
      <c r="I15" s="3">
        <v>77</v>
      </c>
      <c r="J15" s="3">
        <v>0.06</v>
      </c>
      <c r="K15" s="3">
        <v>94.4</v>
      </c>
      <c r="L15" s="3">
        <v>10.029999999999999</v>
      </c>
      <c r="M15" s="3">
        <v>8</v>
      </c>
      <c r="N15" s="3">
        <v>11.196999999999999</v>
      </c>
      <c r="O15" s="3">
        <v>4.18</v>
      </c>
      <c r="P15" s="3">
        <v>-9.24</v>
      </c>
      <c r="Q15" s="3">
        <v>0.05</v>
      </c>
      <c r="R15" s="3">
        <v>-6.09</v>
      </c>
      <c r="S15" s="3">
        <v>0.02</v>
      </c>
      <c r="T15" s="3">
        <v>-34.96</v>
      </c>
      <c r="U15" s="3">
        <v>0.11</v>
      </c>
      <c r="V15" s="3" t="s">
        <v>48</v>
      </c>
      <c r="W15" s="3">
        <v>1.9259999999999999</v>
      </c>
      <c r="X15" s="3" t="s">
        <v>48</v>
      </c>
      <c r="Y15" s="3"/>
      <c r="Z15" s="3">
        <v>6.06</v>
      </c>
      <c r="AA15" s="3">
        <v>16.2</v>
      </c>
      <c r="AB15" s="3">
        <v>0.54800000000000004</v>
      </c>
      <c r="AC15" s="3">
        <v>4.18</v>
      </c>
      <c r="AD15" s="3">
        <v>1.179</v>
      </c>
      <c r="AE15" s="3">
        <v>4.8899999999999999E-2</v>
      </c>
      <c r="AF15" s="3">
        <v>2.0030000000000001</v>
      </c>
      <c r="AG15" s="3">
        <v>2.4500000000000002</v>
      </c>
      <c r="AH15" s="3">
        <v>74</v>
      </c>
      <c r="AI15" s="3">
        <v>41.2469274549658</v>
      </c>
      <c r="AJ15" s="3">
        <v>7.1780880985728697</v>
      </c>
      <c r="AK15" s="3">
        <v>9.1098691178696997E-2</v>
      </c>
      <c r="AL15" s="3">
        <v>1.25243669106021</v>
      </c>
      <c r="AM15" s="3">
        <v>0.26316867657637399</v>
      </c>
      <c r="AN15" s="3">
        <v>4.8021325742633597E-3</v>
      </c>
      <c r="AO15" s="3">
        <v>0.202705098165744</v>
      </c>
      <c r="AP15" s="3">
        <v>6.62686276307827E-2</v>
      </c>
      <c r="AQ15" s="3">
        <v>15.0714587499721</v>
      </c>
      <c r="AR15" s="3">
        <v>0.83144588707615597</v>
      </c>
      <c r="AS15" s="3">
        <v>6.2148420408166198E-2</v>
      </c>
      <c r="AT15" s="3">
        <v>8.0573008307364795E-3</v>
      </c>
      <c r="AU15" s="3">
        <v>2.6389999999999998</v>
      </c>
      <c r="AV15" s="3">
        <v>16.02</v>
      </c>
      <c r="AW15" s="3">
        <v>13.38</v>
      </c>
      <c r="AX15" s="1">
        <v>0</v>
      </c>
      <c r="AY15" s="1">
        <v>-1.5123638180000001</v>
      </c>
      <c r="AZ15" s="1">
        <v>-1.5123638180000001</v>
      </c>
      <c r="BA15" s="1">
        <v>0.53001045499999999</v>
      </c>
    </row>
    <row r="16" spans="1:53" hidden="1" x14ac:dyDescent="0.35">
      <c r="A16" s="2" t="s">
        <v>64</v>
      </c>
      <c r="B16" s="1" t="s">
        <v>44</v>
      </c>
      <c r="C16" s="4">
        <v>0.91666666666666663</v>
      </c>
      <c r="D16" s="5">
        <v>45695</v>
      </c>
      <c r="E16" s="13">
        <f t="shared" si="0"/>
        <v>45695.916666666664</v>
      </c>
      <c r="F16" s="3">
        <v>0.13700000000000001</v>
      </c>
      <c r="G16" s="3">
        <v>86.3</v>
      </c>
      <c r="H16" s="3">
        <v>118.2</v>
      </c>
      <c r="I16" s="3">
        <v>77</v>
      </c>
      <c r="J16" s="3">
        <v>0.06</v>
      </c>
      <c r="K16" s="3">
        <v>93.8</v>
      </c>
      <c r="L16" s="3">
        <v>10.039999999999999</v>
      </c>
      <c r="M16" s="3">
        <v>7.61</v>
      </c>
      <c r="N16" s="3">
        <v>10.882999999999999</v>
      </c>
      <c r="O16" s="3">
        <v>7.54</v>
      </c>
      <c r="P16" s="3">
        <v>-9.39</v>
      </c>
      <c r="Q16" s="3">
        <v>0.05</v>
      </c>
      <c r="R16" s="3">
        <v>-6.11</v>
      </c>
      <c r="S16" s="3">
        <v>0.02</v>
      </c>
      <c r="T16" s="3">
        <v>-35.130000000000003</v>
      </c>
      <c r="U16" s="3">
        <v>0.03</v>
      </c>
      <c r="V16" s="3" t="s">
        <v>48</v>
      </c>
      <c r="W16" s="3">
        <v>1.8480000000000001</v>
      </c>
      <c r="X16" s="3" t="s">
        <v>48</v>
      </c>
      <c r="Y16" s="3"/>
      <c r="Z16" s="3">
        <v>6.0380000000000003</v>
      </c>
      <c r="AA16" s="3">
        <v>16.2</v>
      </c>
      <c r="AB16" s="3">
        <v>0.53600000000000003</v>
      </c>
      <c r="AC16" s="3">
        <v>4.1900000000000004</v>
      </c>
      <c r="AD16" s="3">
        <v>1.1299999999999999</v>
      </c>
      <c r="AE16" s="3">
        <v>6.1899999999999997E-2</v>
      </c>
      <c r="AF16" s="3">
        <v>2.012</v>
      </c>
      <c r="AG16" s="3">
        <v>2.44</v>
      </c>
      <c r="AH16" s="3">
        <v>81</v>
      </c>
      <c r="AI16" s="3">
        <v>45.8689928768217</v>
      </c>
      <c r="AJ16" s="3">
        <v>15.2957009605451</v>
      </c>
      <c r="AK16" s="3">
        <v>0.118262419357533</v>
      </c>
      <c r="AL16" s="3">
        <v>1.61295082962105</v>
      </c>
      <c r="AM16" s="3">
        <v>0.26551447932078798</v>
      </c>
      <c r="AN16" s="3">
        <v>5.6045561505940901E-2</v>
      </c>
      <c r="AO16" s="3">
        <v>0.25226776645444898</v>
      </c>
      <c r="AP16" s="3">
        <v>5.5130242366320303E-2</v>
      </c>
      <c r="AQ16" s="3">
        <v>14.7496206222394</v>
      </c>
      <c r="AR16" s="3">
        <v>0.45698365265539898</v>
      </c>
      <c r="AS16" s="3">
        <v>6.2936595318003094E-2</v>
      </c>
      <c r="AT16" s="3">
        <v>5.9640301244236497E-3</v>
      </c>
      <c r="AU16" s="3">
        <v>2.7509999999999999</v>
      </c>
      <c r="AV16" s="3">
        <v>16.07</v>
      </c>
      <c r="AW16" s="3">
        <v>13.32</v>
      </c>
      <c r="AX16" s="1">
        <v>0</v>
      </c>
      <c r="AY16" s="1">
        <v>-1.5200970709999999</v>
      </c>
      <c r="AZ16" s="1">
        <v>-1.5200970709999999</v>
      </c>
      <c r="BA16" s="1">
        <v>0.43212714099999999</v>
      </c>
    </row>
    <row r="17" spans="1:53" hidden="1" x14ac:dyDescent="0.35">
      <c r="A17" s="2" t="s">
        <v>64</v>
      </c>
      <c r="B17" s="1" t="s">
        <v>45</v>
      </c>
      <c r="C17" s="4">
        <v>8.3333333333333329E-2</v>
      </c>
      <c r="D17" s="5">
        <v>45696</v>
      </c>
      <c r="E17" s="13">
        <f t="shared" si="0"/>
        <v>45696.083333333336</v>
      </c>
      <c r="F17" s="3">
        <v>0.13500000000000001</v>
      </c>
      <c r="G17" s="3">
        <v>86.2</v>
      </c>
      <c r="H17" s="3">
        <v>118.7</v>
      </c>
      <c r="I17" s="3">
        <v>77</v>
      </c>
      <c r="J17" s="3">
        <v>0.06</v>
      </c>
      <c r="K17" s="3">
        <v>92.3</v>
      </c>
      <c r="L17" s="3">
        <v>9.91</v>
      </c>
      <c r="M17" s="3">
        <v>7.57</v>
      </c>
      <c r="N17" s="3">
        <v>10.675000000000001</v>
      </c>
      <c r="O17" s="3">
        <v>4.0599999999999996</v>
      </c>
      <c r="P17" s="3">
        <v>-9.9600000000000009</v>
      </c>
      <c r="Q17" s="3">
        <v>0.04</v>
      </c>
      <c r="R17" s="3">
        <v>-6.07</v>
      </c>
      <c r="S17" s="3">
        <v>0.01</v>
      </c>
      <c r="T17" s="3">
        <v>-34.97</v>
      </c>
      <c r="U17" s="3">
        <v>0.06</v>
      </c>
      <c r="V17" s="3" t="s">
        <v>48</v>
      </c>
      <c r="W17" s="3">
        <v>1.871</v>
      </c>
      <c r="X17" s="3" t="s">
        <v>48</v>
      </c>
      <c r="Y17" s="3"/>
      <c r="Z17" s="3">
        <v>6.1040000000000001</v>
      </c>
      <c r="AA17" s="3">
        <v>16.600000000000001</v>
      </c>
      <c r="AB17" s="3">
        <v>0.52500000000000002</v>
      </c>
      <c r="AC17" s="3">
        <v>4.22</v>
      </c>
      <c r="AD17" s="3">
        <v>1.1319999999999999</v>
      </c>
      <c r="AE17" s="3">
        <v>0</v>
      </c>
      <c r="AF17" s="3">
        <v>1.972</v>
      </c>
      <c r="AG17" s="3">
        <v>2.4300000000000002</v>
      </c>
      <c r="AH17" s="3">
        <v>82</v>
      </c>
      <c r="AI17" s="3">
        <v>50.5228992151809</v>
      </c>
      <c r="AJ17" s="3">
        <v>8.3217079201929405</v>
      </c>
      <c r="AK17" s="3">
        <v>0.122430400346904</v>
      </c>
      <c r="AL17" s="3">
        <v>1.3566545307616</v>
      </c>
      <c r="AM17" s="3">
        <v>0.58431496523724602</v>
      </c>
      <c r="AN17" s="3">
        <v>0.16027397814841499</v>
      </c>
      <c r="AO17" s="3">
        <v>1.90993502428443</v>
      </c>
      <c r="AP17" s="3">
        <v>4.61262994289246E-2</v>
      </c>
      <c r="AQ17" s="3">
        <v>15.695314412246001</v>
      </c>
      <c r="AR17" s="3">
        <v>0.33623347575799301</v>
      </c>
      <c r="AS17" s="3">
        <v>6.9237748720030898E-2</v>
      </c>
      <c r="AT17" s="3">
        <v>6.9740713028824597E-3</v>
      </c>
      <c r="AU17" s="3">
        <v>2.5529999999999999</v>
      </c>
      <c r="AV17" s="3">
        <v>16.02</v>
      </c>
      <c r="AW17" s="3">
        <v>13.47</v>
      </c>
      <c r="AX17" s="1">
        <v>0</v>
      </c>
      <c r="AY17" s="1">
        <v>-1.6572002990000001</v>
      </c>
      <c r="AZ17" s="1">
        <v>-1.6572002990000001</v>
      </c>
      <c r="BA17" s="1">
        <v>0.39857208500000002</v>
      </c>
    </row>
    <row r="18" spans="1:53" hidden="1" x14ac:dyDescent="0.35">
      <c r="A18" s="2" t="s">
        <v>64</v>
      </c>
      <c r="B18" s="1" t="s">
        <v>46</v>
      </c>
      <c r="C18" s="4">
        <v>0.25</v>
      </c>
      <c r="D18" s="5">
        <v>45696</v>
      </c>
      <c r="E18" s="13">
        <f t="shared" si="0"/>
        <v>45696.25</v>
      </c>
      <c r="F18" s="3">
        <v>0.153</v>
      </c>
      <c r="G18" s="3">
        <v>85.6</v>
      </c>
      <c r="H18" s="3">
        <v>118.2</v>
      </c>
      <c r="I18" s="3">
        <v>77</v>
      </c>
      <c r="J18" s="3">
        <v>0.06</v>
      </c>
      <c r="K18" s="3">
        <v>89.9</v>
      </c>
      <c r="L18" s="3">
        <v>9.9600000000000009</v>
      </c>
      <c r="M18" s="6">
        <v>7.54</v>
      </c>
      <c r="N18" s="3">
        <v>10.561999999999999</v>
      </c>
      <c r="O18" s="3">
        <v>4.2699999999999996</v>
      </c>
      <c r="P18" s="3">
        <v>-9.84</v>
      </c>
      <c r="Q18" s="3">
        <v>0.05</v>
      </c>
      <c r="R18" s="3">
        <v>-6</v>
      </c>
      <c r="S18" s="3">
        <v>0.01</v>
      </c>
      <c r="T18" s="3">
        <v>-34.72</v>
      </c>
      <c r="U18" s="3">
        <v>0.05</v>
      </c>
      <c r="V18" s="3" t="s">
        <v>48</v>
      </c>
      <c r="W18" s="3">
        <v>1.91</v>
      </c>
      <c r="X18" s="3" t="s">
        <v>48</v>
      </c>
      <c r="Y18" s="3"/>
      <c r="Z18" s="3">
        <v>6.181</v>
      </c>
      <c r="AA18" s="3">
        <v>16.8</v>
      </c>
      <c r="AB18" s="3">
        <v>0.38600000000000001</v>
      </c>
      <c r="AC18" s="3">
        <v>4.22</v>
      </c>
      <c r="AD18" s="3">
        <v>1.177</v>
      </c>
      <c r="AE18" s="3">
        <v>2.5000000000000001E-3</v>
      </c>
      <c r="AF18" s="3">
        <v>1.9259999999999999</v>
      </c>
      <c r="AG18" s="3">
        <v>2.37</v>
      </c>
      <c r="AH18" s="3">
        <v>90</v>
      </c>
      <c r="AI18" s="3">
        <v>57.652056692076002</v>
      </c>
      <c r="AJ18" s="3">
        <v>7.9686127162627898</v>
      </c>
      <c r="AK18" s="3">
        <v>9.5801725769056004E-2</v>
      </c>
      <c r="AL18" s="3">
        <v>0.56722957353205805</v>
      </c>
      <c r="AM18" s="3">
        <v>0.24774146972734001</v>
      </c>
      <c r="AN18" s="3">
        <v>6.8949514074771401E-2</v>
      </c>
      <c r="AO18" s="3">
        <v>0.14624421219067099</v>
      </c>
      <c r="AP18" s="3">
        <v>3.6992584397476998E-2</v>
      </c>
      <c r="AQ18" s="3">
        <v>15.0552088393317</v>
      </c>
      <c r="AR18" s="3">
        <v>0.23134236722260901</v>
      </c>
      <c r="AS18" s="3">
        <v>3.2109035239259801E-2</v>
      </c>
      <c r="AT18" s="3">
        <v>5.3788131017265201E-3</v>
      </c>
      <c r="AU18" s="3">
        <v>2.8130000000000002</v>
      </c>
      <c r="AV18" s="3">
        <v>16.27</v>
      </c>
      <c r="AW18" s="3">
        <v>13.45</v>
      </c>
      <c r="AX18" s="1">
        <v>0</v>
      </c>
      <c r="AY18" s="1">
        <v>-1.8734677369999999</v>
      </c>
      <c r="AZ18" s="1">
        <v>-1.8734677369999999</v>
      </c>
      <c r="BA18" s="1">
        <v>0.65796497399999998</v>
      </c>
    </row>
    <row r="19" spans="1:53" hidden="1" x14ac:dyDescent="0.35">
      <c r="A19" s="2" t="s">
        <v>64</v>
      </c>
      <c r="B19" s="1" t="s">
        <v>47</v>
      </c>
      <c r="C19" s="4">
        <v>0.41666666666666669</v>
      </c>
      <c r="D19" s="5">
        <v>45696</v>
      </c>
      <c r="E19" s="13">
        <f t="shared" si="0"/>
        <v>45696.416666666664</v>
      </c>
      <c r="F19" s="3">
        <v>0.16500000000000001</v>
      </c>
      <c r="G19" s="3">
        <v>87.8</v>
      </c>
      <c r="H19" s="3">
        <v>120</v>
      </c>
      <c r="I19" s="3">
        <v>78</v>
      </c>
      <c r="J19" s="3">
        <v>0.06</v>
      </c>
      <c r="K19" s="3">
        <v>91.9</v>
      </c>
      <c r="L19" s="3">
        <v>10.36</v>
      </c>
      <c r="M19" s="6">
        <v>7.65</v>
      </c>
      <c r="N19" s="3">
        <v>10.944000000000001</v>
      </c>
      <c r="O19" s="3">
        <v>7.27</v>
      </c>
      <c r="P19" s="3">
        <v>-9.7100000000000009</v>
      </c>
      <c r="Q19" s="3">
        <v>0.04</v>
      </c>
      <c r="R19" s="3">
        <v>-6.06</v>
      </c>
      <c r="S19" s="3">
        <v>0.02</v>
      </c>
      <c r="T19" s="3">
        <v>-34.96</v>
      </c>
      <c r="U19" s="3">
        <v>0.1</v>
      </c>
      <c r="V19" s="3" t="s">
        <v>48</v>
      </c>
      <c r="W19" s="3">
        <v>1.889</v>
      </c>
      <c r="X19" s="3" t="s">
        <v>48</v>
      </c>
      <c r="Y19" s="3"/>
      <c r="Z19" s="3">
        <v>6.14</v>
      </c>
      <c r="AA19" s="3">
        <v>16.399999999999999</v>
      </c>
      <c r="AB19" s="3">
        <v>0.47499999999999998</v>
      </c>
      <c r="AC19" s="3">
        <v>4.17</v>
      </c>
      <c r="AD19" s="3">
        <v>1.087</v>
      </c>
      <c r="AE19" s="3">
        <v>0</v>
      </c>
      <c r="AF19" s="3">
        <v>2.0739999999999998</v>
      </c>
      <c r="AG19" s="3">
        <v>2.36</v>
      </c>
      <c r="AH19" s="3">
        <v>84</v>
      </c>
      <c r="AI19" s="3">
        <v>41.313119324509401</v>
      </c>
      <c r="AJ19" s="3">
        <v>10.5303437183392</v>
      </c>
      <c r="AK19" s="3">
        <v>0.102031489869038</v>
      </c>
      <c r="AL19" s="3">
        <v>1.4141843279498501</v>
      </c>
      <c r="AM19" s="3">
        <v>0.23278644635540799</v>
      </c>
      <c r="AN19" s="3">
        <v>-6.9859147235783001E-2</v>
      </c>
      <c r="AO19" s="3">
        <v>0.200157414466411</v>
      </c>
      <c r="AP19" s="3">
        <v>4.8473119984367201E-2</v>
      </c>
      <c r="AQ19" s="3">
        <v>15.3524495585448</v>
      </c>
      <c r="AR19" s="3">
        <v>0.19535848118934299</v>
      </c>
      <c r="AS19" s="3">
        <v>6.8723368089390904E-2</v>
      </c>
      <c r="AT19" s="3">
        <v>4.5644369529308504E-3</v>
      </c>
      <c r="AU19" s="3">
        <v>2.4449999999999998</v>
      </c>
      <c r="AV19" s="3">
        <v>16.09</v>
      </c>
      <c r="AW19" s="3">
        <v>13.65</v>
      </c>
      <c r="AX19" s="1">
        <v>2.267992998</v>
      </c>
      <c r="AY19" s="1">
        <v>-2.0621522130000001</v>
      </c>
      <c r="AZ19" s="1">
        <v>0.205840786</v>
      </c>
      <c r="BA19" s="1">
        <v>0.88487415199999997</v>
      </c>
    </row>
    <row r="20" spans="1:53" hidden="1" x14ac:dyDescent="0.35">
      <c r="A20" s="2" t="s">
        <v>64</v>
      </c>
      <c r="B20" s="1" t="s">
        <v>49</v>
      </c>
      <c r="C20" s="7">
        <v>0.58333333333333337</v>
      </c>
      <c r="D20" s="9">
        <v>45696</v>
      </c>
      <c r="E20" s="13">
        <f t="shared" si="0"/>
        <v>45696.583333333336</v>
      </c>
      <c r="F20" s="6">
        <v>0.13400000000000001</v>
      </c>
      <c r="G20" s="6">
        <v>88.9</v>
      </c>
      <c r="H20" s="6">
        <v>120.4</v>
      </c>
      <c r="I20" s="6">
        <v>78</v>
      </c>
      <c r="J20" s="6">
        <v>0.06</v>
      </c>
      <c r="K20" s="6">
        <v>93.6</v>
      </c>
      <c r="L20" s="6">
        <v>10.37</v>
      </c>
      <c r="M20" s="6">
        <v>7.83</v>
      </c>
      <c r="N20" s="6">
        <v>11.323</v>
      </c>
      <c r="O20" s="6">
        <v>4.3499999999999996</v>
      </c>
      <c r="P20" s="3">
        <v>-9.73</v>
      </c>
      <c r="Q20" s="3">
        <v>0.04</v>
      </c>
      <c r="R20" s="3">
        <v>-6.02</v>
      </c>
      <c r="S20" s="3">
        <v>0.02</v>
      </c>
      <c r="T20" s="3">
        <v>-34.81</v>
      </c>
      <c r="U20" s="3">
        <v>0.08</v>
      </c>
      <c r="V20" s="3" t="s">
        <v>48</v>
      </c>
      <c r="W20" s="3">
        <v>1.85</v>
      </c>
      <c r="X20" s="3" t="s">
        <v>48</v>
      </c>
      <c r="Y20" s="3"/>
      <c r="Z20" s="3">
        <v>6.0640000000000001</v>
      </c>
      <c r="AA20" s="3">
        <v>16.2</v>
      </c>
      <c r="AB20" s="3">
        <v>0.45500000000000002</v>
      </c>
      <c r="AC20" s="3">
        <v>4.1100000000000003</v>
      </c>
      <c r="AD20" s="3">
        <v>1.111</v>
      </c>
      <c r="AE20" s="3">
        <v>1.83E-2</v>
      </c>
      <c r="AF20" s="3">
        <v>1.97</v>
      </c>
      <c r="AG20" s="3">
        <v>2.42</v>
      </c>
      <c r="AH20" s="3">
        <v>83</v>
      </c>
      <c r="AI20" s="3">
        <v>41.140805521112597</v>
      </c>
      <c r="AJ20" s="3">
        <v>8.7655764840655603</v>
      </c>
      <c r="AK20" s="3">
        <v>0.10958467740045599</v>
      </c>
      <c r="AL20" s="3">
        <v>2.10824870564851</v>
      </c>
      <c r="AM20" s="3">
        <v>0.24745593190413301</v>
      </c>
      <c r="AN20" s="3">
        <v>-7.4441957294585706E-2</v>
      </c>
      <c r="AO20" s="3">
        <v>0.34208223802411097</v>
      </c>
      <c r="AP20" s="3">
        <v>4.21152509069758E-2</v>
      </c>
      <c r="AQ20" s="3">
        <v>15.4839440756034</v>
      </c>
      <c r="AR20" s="3">
        <v>0.13330855862006799</v>
      </c>
      <c r="AS20" s="3">
        <v>9.2612865251468404E-2</v>
      </c>
      <c r="AT20" s="3">
        <v>5.3271441173500201E-3</v>
      </c>
      <c r="AU20" s="3">
        <v>2.5249999999999999</v>
      </c>
      <c r="AV20" s="3">
        <v>16.14</v>
      </c>
      <c r="AW20" s="3">
        <v>13.62</v>
      </c>
      <c r="AX20" s="1">
        <v>3.4826481899999999</v>
      </c>
      <c r="AY20" s="1">
        <v>-2.3211602670000002</v>
      </c>
      <c r="AZ20" s="1">
        <v>1.1614879229999999</v>
      </c>
      <c r="BA20" s="1">
        <v>1.891125468</v>
      </c>
    </row>
    <row r="21" spans="1:53" hidden="1" x14ac:dyDescent="0.35">
      <c r="A21" s="2" t="s">
        <v>64</v>
      </c>
      <c r="B21" s="1" t="s">
        <v>50</v>
      </c>
      <c r="C21" s="4">
        <v>0.75</v>
      </c>
      <c r="D21" s="5">
        <v>45696</v>
      </c>
      <c r="E21" s="13">
        <f t="shared" si="0"/>
        <v>45696.75</v>
      </c>
      <c r="F21" s="3">
        <v>0.125</v>
      </c>
      <c r="G21" s="3">
        <v>86.8</v>
      </c>
      <c r="H21" s="3">
        <v>117</v>
      </c>
      <c r="I21" s="3">
        <v>76</v>
      </c>
      <c r="J21" s="3">
        <v>0.06</v>
      </c>
      <c r="K21" s="3">
        <v>92.6</v>
      </c>
      <c r="L21" s="3">
        <v>10.25</v>
      </c>
      <c r="M21" s="3">
        <v>7.71</v>
      </c>
      <c r="N21" s="3">
        <v>11.461</v>
      </c>
      <c r="O21" s="3">
        <v>4.04</v>
      </c>
      <c r="P21" s="3">
        <v>-9.1999999999999993</v>
      </c>
      <c r="Q21" s="3">
        <v>0.06</v>
      </c>
      <c r="R21" s="3">
        <v>-6.03</v>
      </c>
      <c r="S21" s="3">
        <v>0.01</v>
      </c>
      <c r="T21" s="3">
        <v>-34.86</v>
      </c>
      <c r="U21" s="3">
        <v>0.08</v>
      </c>
      <c r="V21" s="3" t="s">
        <v>48</v>
      </c>
      <c r="W21" s="3">
        <v>1.8979999999999999</v>
      </c>
      <c r="X21" s="3" t="s">
        <v>48</v>
      </c>
      <c r="Y21" s="3"/>
      <c r="Z21" s="3">
        <v>6.1710000000000003</v>
      </c>
      <c r="AA21" s="3">
        <v>16.2</v>
      </c>
      <c r="AB21" s="3">
        <v>0.42399999999999999</v>
      </c>
      <c r="AC21" s="3">
        <v>4.1100000000000003</v>
      </c>
      <c r="AD21" s="3">
        <v>1.091</v>
      </c>
      <c r="AE21" s="3">
        <v>7.1000000000000004E-3</v>
      </c>
      <c r="AF21" s="3">
        <v>2.0019999999999998</v>
      </c>
      <c r="AG21" s="3">
        <v>2.42</v>
      </c>
      <c r="AH21" s="3">
        <v>80</v>
      </c>
      <c r="AI21" s="3">
        <v>31.9679790857986</v>
      </c>
      <c r="AJ21" s="3">
        <v>7.9173173883853698</v>
      </c>
      <c r="AK21" s="3">
        <v>0.13219529332626101</v>
      </c>
      <c r="AL21" s="3">
        <v>2.94857615834623</v>
      </c>
      <c r="AM21" s="3">
        <v>0.239284131703562</v>
      </c>
      <c r="AN21" s="3">
        <v>8.40632399246736E-2</v>
      </c>
      <c r="AO21" s="3">
        <v>0.116049594733691</v>
      </c>
      <c r="AP21" s="3">
        <v>3.5058501917744497E-2</v>
      </c>
      <c r="AQ21" s="3">
        <v>15.743017389612699</v>
      </c>
      <c r="AR21" s="3">
        <v>0.118971919261356</v>
      </c>
      <c r="AS21" s="3">
        <v>3.86276938844669E-2</v>
      </c>
      <c r="AT21" s="3">
        <v>4.7413527131455503E-3</v>
      </c>
      <c r="AU21" s="3">
        <v>2.4729999999999999</v>
      </c>
      <c r="AV21" s="3">
        <v>15.93</v>
      </c>
      <c r="AW21" s="3">
        <v>13.46</v>
      </c>
      <c r="AX21" s="1">
        <v>0.35147873099999999</v>
      </c>
      <c r="AY21" s="1">
        <v>-2.3076241130000001</v>
      </c>
      <c r="AZ21" s="1">
        <v>-1.9561453820000001</v>
      </c>
      <c r="BA21" s="1">
        <v>1.3645722179999999</v>
      </c>
    </row>
    <row r="22" spans="1:53" hidden="1" x14ac:dyDescent="0.35">
      <c r="A22" s="2" t="s">
        <v>64</v>
      </c>
      <c r="B22" s="1" t="s">
        <v>51</v>
      </c>
      <c r="C22" s="7">
        <v>0.91666666666666663</v>
      </c>
      <c r="D22" s="9">
        <v>45696</v>
      </c>
      <c r="E22" s="13">
        <f t="shared" si="0"/>
        <v>45696.916666666664</v>
      </c>
      <c r="F22" s="6">
        <v>0.13300000000000001</v>
      </c>
      <c r="G22" s="6">
        <v>87.8</v>
      </c>
      <c r="H22" s="6">
        <v>117.2</v>
      </c>
      <c r="I22" s="6">
        <v>76</v>
      </c>
      <c r="J22" s="6">
        <v>0.06</v>
      </c>
      <c r="K22" s="6">
        <v>92.1</v>
      </c>
      <c r="L22" s="6">
        <v>10.01</v>
      </c>
      <c r="M22" s="6">
        <v>7.55</v>
      </c>
      <c r="N22" s="6">
        <v>11.157999999999999</v>
      </c>
      <c r="O22" s="6">
        <v>3.77</v>
      </c>
      <c r="P22" s="3">
        <v>-9.6</v>
      </c>
      <c r="Q22" s="3">
        <v>0.05</v>
      </c>
      <c r="R22" s="3">
        <v>-6.1</v>
      </c>
      <c r="S22" s="3">
        <v>0.01</v>
      </c>
      <c r="T22" s="3">
        <v>-35.21</v>
      </c>
      <c r="U22" s="3">
        <v>0.1</v>
      </c>
      <c r="V22" s="3" t="s">
        <v>48</v>
      </c>
      <c r="W22" s="3">
        <v>1.857</v>
      </c>
      <c r="X22" s="3" t="s">
        <v>48</v>
      </c>
      <c r="Y22" s="3"/>
      <c r="Z22" s="3">
        <v>6.0650000000000004</v>
      </c>
      <c r="AA22" s="3">
        <v>16.399999999999999</v>
      </c>
      <c r="AB22" s="3">
        <v>0.435</v>
      </c>
      <c r="AC22" s="3">
        <v>4.18</v>
      </c>
      <c r="AD22" s="3">
        <v>1.1459999999999999</v>
      </c>
      <c r="AE22" s="3">
        <v>3.8899999999999997E-2</v>
      </c>
      <c r="AF22" s="3">
        <v>2.0070000000000001</v>
      </c>
      <c r="AG22" s="3">
        <v>2.39</v>
      </c>
      <c r="AH22" s="3">
        <v>85</v>
      </c>
      <c r="AI22" s="3">
        <v>46.484963492494202</v>
      </c>
      <c r="AJ22" s="3">
        <v>20.890529765578101</v>
      </c>
      <c r="AK22" s="3">
        <v>0.21360087032028399</v>
      </c>
      <c r="AL22" s="3">
        <v>2.0697592899095199</v>
      </c>
      <c r="AM22" s="3">
        <v>0.26325953630362098</v>
      </c>
      <c r="AN22" s="3">
        <v>0.10350603041558799</v>
      </c>
      <c r="AO22" s="3">
        <v>0.29813852755556303</v>
      </c>
      <c r="AP22" s="3">
        <v>3.2683026534272699E-2</v>
      </c>
      <c r="AQ22" s="3">
        <v>15.4260843168523</v>
      </c>
      <c r="AR22" s="3">
        <v>9.5362790513440598E-2</v>
      </c>
      <c r="AS22" s="3">
        <v>3.8810746094861799E-2</v>
      </c>
      <c r="AT22" s="3">
        <v>4.5036378434987904E-3</v>
      </c>
      <c r="AU22" s="3">
        <v>2.4500000000000002</v>
      </c>
      <c r="AV22" s="3">
        <v>15.91</v>
      </c>
      <c r="AW22" s="3">
        <v>13.46</v>
      </c>
      <c r="AX22" s="1">
        <v>0</v>
      </c>
      <c r="AY22" s="1">
        <v>-2.203430966</v>
      </c>
      <c r="AZ22" s="1">
        <v>-2.203430966</v>
      </c>
      <c r="BA22" s="1">
        <v>0.98149362600000001</v>
      </c>
    </row>
    <row r="23" spans="1:53" hidden="1" x14ac:dyDescent="0.35">
      <c r="A23" s="2" t="s">
        <v>64</v>
      </c>
      <c r="B23" s="1" t="s">
        <v>52</v>
      </c>
      <c r="C23" s="4">
        <v>8.3333333333333329E-2</v>
      </c>
      <c r="D23" s="5">
        <v>45697</v>
      </c>
      <c r="E23" s="13">
        <f t="shared" si="0"/>
        <v>45697.083333333336</v>
      </c>
      <c r="F23" s="3">
        <v>0.127</v>
      </c>
      <c r="G23" s="3">
        <v>87.2</v>
      </c>
      <c r="H23" s="3">
        <v>119.1</v>
      </c>
      <c r="I23" s="3">
        <v>77</v>
      </c>
      <c r="J23" s="3">
        <v>0.06</v>
      </c>
      <c r="K23" s="3">
        <v>91.3</v>
      </c>
      <c r="L23" s="3">
        <v>10.039999999999999</v>
      </c>
      <c r="M23" s="3">
        <v>7.58</v>
      </c>
      <c r="N23" s="3">
        <v>10.965999999999999</v>
      </c>
      <c r="O23" s="6">
        <v>3.93</v>
      </c>
      <c r="P23" s="3">
        <v>-10.07</v>
      </c>
      <c r="Q23" s="3">
        <v>0.03</v>
      </c>
      <c r="R23" s="3">
        <v>-6.06</v>
      </c>
      <c r="S23" s="3">
        <v>0.01</v>
      </c>
      <c r="T23" s="3">
        <v>-35.04</v>
      </c>
      <c r="U23" s="3">
        <v>0.06</v>
      </c>
      <c r="V23" s="3" t="s">
        <v>48</v>
      </c>
      <c r="W23" s="3">
        <v>1.806</v>
      </c>
      <c r="X23" s="3" t="s">
        <v>48</v>
      </c>
      <c r="Y23" s="3"/>
      <c r="Z23" s="3">
        <v>5.9489999999999998</v>
      </c>
      <c r="AA23" s="3">
        <v>16.5</v>
      </c>
      <c r="AB23" s="3">
        <v>0.49299999999999999</v>
      </c>
      <c r="AC23" s="3">
        <v>4.18</v>
      </c>
      <c r="AD23" s="3">
        <v>1.1559999999999999</v>
      </c>
      <c r="AE23" s="3">
        <v>4.9099999999999998E-2</v>
      </c>
      <c r="AF23" s="3">
        <v>1.998</v>
      </c>
      <c r="AG23" s="3">
        <v>2.33</v>
      </c>
      <c r="AH23" s="3">
        <v>92</v>
      </c>
      <c r="AI23" s="3">
        <v>46.565697568057303</v>
      </c>
      <c r="AJ23" s="3">
        <v>12.1932271235332</v>
      </c>
      <c r="AK23" s="3">
        <v>0.17817366900565401</v>
      </c>
      <c r="AL23" s="3">
        <v>1.2828790199139399</v>
      </c>
      <c r="AM23" s="3">
        <v>0.26081412541832</v>
      </c>
      <c r="AN23" s="3">
        <v>-2.1318277572263698E-2</v>
      </c>
      <c r="AO23" s="3">
        <v>0.62055421641262898</v>
      </c>
      <c r="AP23" s="3">
        <v>3.1615702648055202E-2</v>
      </c>
      <c r="AQ23" s="3">
        <v>15.659261705990501</v>
      </c>
      <c r="AR23" s="3">
        <v>8.6309217778834907E-2</v>
      </c>
      <c r="AS23" s="3">
        <v>0.109668031916377</v>
      </c>
      <c r="AT23" s="3">
        <v>4.8716597007610503E-3</v>
      </c>
      <c r="AU23" s="3">
        <v>2.3929999999999998</v>
      </c>
      <c r="AV23" s="3">
        <v>15.82</v>
      </c>
      <c r="AW23" s="3">
        <v>13.43</v>
      </c>
      <c r="AX23" s="1">
        <v>0</v>
      </c>
      <c r="AY23" s="1">
        <v>-1.54873839</v>
      </c>
      <c r="AZ23" s="1">
        <v>-1.54873839</v>
      </c>
      <c r="BA23" s="1">
        <v>0.66973702000000002</v>
      </c>
    </row>
    <row r="24" spans="1:53" hidden="1" x14ac:dyDescent="0.35">
      <c r="A24" s="2" t="s">
        <v>64</v>
      </c>
      <c r="B24" s="1" t="s">
        <v>53</v>
      </c>
      <c r="C24" s="4">
        <v>0.25</v>
      </c>
      <c r="D24" s="5">
        <v>45697</v>
      </c>
      <c r="E24" s="13">
        <f t="shared" si="0"/>
        <v>45697.25</v>
      </c>
      <c r="F24" s="3">
        <v>0.13</v>
      </c>
      <c r="G24" s="3">
        <v>85.4</v>
      </c>
      <c r="H24" s="3">
        <v>118.6</v>
      </c>
      <c r="I24" s="3">
        <v>77</v>
      </c>
      <c r="J24" s="3">
        <v>0.06</v>
      </c>
      <c r="K24" s="3">
        <v>91.2</v>
      </c>
      <c r="L24" s="3">
        <v>10.23</v>
      </c>
      <c r="M24" s="3">
        <v>7.59</v>
      </c>
      <c r="N24" s="3">
        <v>10.242000000000001</v>
      </c>
      <c r="O24" s="3">
        <v>9.8699999999999992</v>
      </c>
      <c r="P24" s="3">
        <v>-9.8699999999999992</v>
      </c>
      <c r="Q24" s="3">
        <v>0.05</v>
      </c>
      <c r="R24" s="3">
        <v>-6.03</v>
      </c>
      <c r="S24" s="3">
        <v>0.02</v>
      </c>
      <c r="T24" s="3">
        <v>-34.89</v>
      </c>
      <c r="U24" s="3">
        <v>7.0000000000000007E-2</v>
      </c>
      <c r="V24" s="3" t="s">
        <v>48</v>
      </c>
      <c r="W24" s="3">
        <v>1.9219999999999999</v>
      </c>
      <c r="X24" s="3" t="s">
        <v>48</v>
      </c>
      <c r="Y24" s="3"/>
      <c r="Z24" s="3">
        <v>6.2279999999999998</v>
      </c>
      <c r="AA24" s="3">
        <v>16.899999999999999</v>
      </c>
      <c r="AB24" s="3">
        <v>0.46400000000000002</v>
      </c>
      <c r="AC24" s="3">
        <v>4.26</v>
      </c>
      <c r="AD24" s="3">
        <v>1.2450000000000001</v>
      </c>
      <c r="AE24" s="3">
        <v>4.1300000000000003E-2</v>
      </c>
      <c r="AF24" s="3">
        <v>2.085</v>
      </c>
      <c r="AG24" s="3">
        <v>2.38</v>
      </c>
      <c r="AH24" s="3">
        <v>105</v>
      </c>
      <c r="AI24" s="3">
        <v>46.717877181170401</v>
      </c>
      <c r="AJ24" s="3">
        <v>10.525820446819599</v>
      </c>
      <c r="AK24" s="3">
        <v>0.18160363666339599</v>
      </c>
      <c r="AL24" s="3">
        <v>1.8114408073914701</v>
      </c>
      <c r="AM24" s="3">
        <v>0.257267958097533</v>
      </c>
      <c r="AN24" s="3">
        <v>0.11245569005386701</v>
      </c>
      <c r="AO24" s="3">
        <v>1.7997173667175299</v>
      </c>
      <c r="AP24" s="3">
        <v>3.40966329734122E-2</v>
      </c>
      <c r="AQ24" s="3">
        <v>14.759595816298599</v>
      </c>
      <c r="AR24" s="3">
        <v>7.5370057566170295E-2</v>
      </c>
      <c r="AS24" s="3">
        <v>4.8609943966805902E-2</v>
      </c>
      <c r="AT24" s="3">
        <v>4.9664496988695E-3</v>
      </c>
      <c r="AU24" s="3">
        <v>2.468</v>
      </c>
      <c r="AV24" s="3">
        <v>16.21</v>
      </c>
      <c r="AW24" s="3">
        <v>13.74</v>
      </c>
      <c r="AX24" s="1">
        <v>0</v>
      </c>
      <c r="AY24" s="1">
        <v>-1.153595886</v>
      </c>
      <c r="AZ24" s="1">
        <v>-1.153595886</v>
      </c>
      <c r="BA24" s="1">
        <v>0.60422769700000001</v>
      </c>
    </row>
    <row r="25" spans="1:53" hidden="1" x14ac:dyDescent="0.35">
      <c r="A25" s="2" t="s">
        <v>64</v>
      </c>
      <c r="B25" s="1" t="s">
        <v>54</v>
      </c>
      <c r="C25" s="4">
        <v>0.41666666666666669</v>
      </c>
      <c r="D25" s="5">
        <v>45697</v>
      </c>
      <c r="E25" s="13">
        <f t="shared" si="0"/>
        <v>45697.416666666664</v>
      </c>
      <c r="F25" s="3">
        <v>0.13100000000000001</v>
      </c>
      <c r="G25" s="3">
        <v>85.8</v>
      </c>
      <c r="H25" s="3">
        <v>119.1</v>
      </c>
      <c r="I25" s="3">
        <v>77</v>
      </c>
      <c r="J25" s="3">
        <v>0.06</v>
      </c>
      <c r="K25" s="3">
        <v>93.4</v>
      </c>
      <c r="L25" s="3">
        <v>10.45</v>
      </c>
      <c r="M25" s="6">
        <v>7.65</v>
      </c>
      <c r="N25" s="3">
        <v>10.372999999999999</v>
      </c>
      <c r="O25" s="3">
        <v>4.1399999999999997</v>
      </c>
      <c r="P25" s="3">
        <v>-9.86</v>
      </c>
      <c r="Q25" s="3">
        <v>0.04</v>
      </c>
      <c r="R25" s="3">
        <v>-6.04</v>
      </c>
      <c r="S25" s="3">
        <v>0.01</v>
      </c>
      <c r="T25" s="3">
        <v>-34.94</v>
      </c>
      <c r="U25" s="3">
        <v>0.11</v>
      </c>
      <c r="V25" s="3" t="s">
        <v>48</v>
      </c>
      <c r="W25" s="3">
        <v>1.819</v>
      </c>
      <c r="X25" s="3" t="s">
        <v>48</v>
      </c>
      <c r="Y25" s="3"/>
      <c r="Z25" s="3">
        <v>5.9619999999999997</v>
      </c>
      <c r="AA25" s="3">
        <v>16.600000000000001</v>
      </c>
      <c r="AB25" s="3">
        <v>0.39</v>
      </c>
      <c r="AC25" s="3">
        <v>4.17</v>
      </c>
      <c r="AD25" s="3">
        <v>1.091</v>
      </c>
      <c r="AE25" s="3">
        <v>4.8800000000000003E-2</v>
      </c>
      <c r="AF25" s="3">
        <v>1.9810000000000001</v>
      </c>
      <c r="AG25" s="3">
        <v>2.34</v>
      </c>
      <c r="AH25" s="3">
        <v>87</v>
      </c>
      <c r="AI25" s="3">
        <v>44.200661692719102</v>
      </c>
      <c r="AJ25" s="3">
        <v>6.2456338807999598</v>
      </c>
      <c r="AK25" s="3">
        <v>7.4090086491132606E-2</v>
      </c>
      <c r="AL25" s="3">
        <v>0.76480257906395899</v>
      </c>
      <c r="AM25" s="3">
        <v>0.234872124001338</v>
      </c>
      <c r="AN25" s="3">
        <v>0.33612188506982099</v>
      </c>
      <c r="AO25" s="3">
        <v>0.65894675817606096</v>
      </c>
      <c r="AP25" s="3">
        <v>3.1969314672843099E-2</v>
      </c>
      <c r="AQ25" s="3">
        <v>14.564007587873601</v>
      </c>
      <c r="AR25" s="3">
        <v>0.25089177302306198</v>
      </c>
      <c r="AS25" s="3">
        <v>6.3234380058784997E-2</v>
      </c>
      <c r="AT25" s="3">
        <v>4.1123678597138301E-3</v>
      </c>
      <c r="AU25" s="3">
        <v>2.581</v>
      </c>
      <c r="AV25" s="3">
        <v>16.149999999999999</v>
      </c>
      <c r="AW25" s="3">
        <v>13.57</v>
      </c>
      <c r="AX25" s="1">
        <v>2.290335598</v>
      </c>
      <c r="AY25" s="1">
        <v>-0.72699097899999998</v>
      </c>
      <c r="AZ25" s="1">
        <v>1.563344619</v>
      </c>
      <c r="BA25" s="1">
        <v>0.51192824999999997</v>
      </c>
    </row>
    <row r="26" spans="1:53" hidden="1" x14ac:dyDescent="0.35">
      <c r="A26" s="2" t="s">
        <v>64</v>
      </c>
      <c r="B26" s="1" t="s">
        <v>55</v>
      </c>
      <c r="C26" s="4">
        <v>0.58333333333333337</v>
      </c>
      <c r="D26" s="5">
        <v>45697</v>
      </c>
      <c r="E26" s="13">
        <f t="shared" si="0"/>
        <v>45697.583333333336</v>
      </c>
      <c r="F26" s="3">
        <v>0.104</v>
      </c>
      <c r="G26" s="3">
        <v>86.4</v>
      </c>
      <c r="H26" s="3">
        <v>120.1</v>
      </c>
      <c r="I26" s="3">
        <v>78</v>
      </c>
      <c r="J26" s="3">
        <v>0.06</v>
      </c>
      <c r="K26" s="3">
        <v>95.5</v>
      </c>
      <c r="L26" s="3">
        <v>10.7</v>
      </c>
      <c r="M26" s="3">
        <v>7.71</v>
      </c>
      <c r="N26" s="3">
        <v>10.698</v>
      </c>
      <c r="O26" s="3">
        <v>9.39</v>
      </c>
      <c r="P26" s="3">
        <v>-9.6199999999999992</v>
      </c>
      <c r="Q26" s="3">
        <v>0.04</v>
      </c>
      <c r="R26" s="3">
        <v>-5.92</v>
      </c>
      <c r="S26" s="3">
        <v>0.04</v>
      </c>
      <c r="T26" s="3">
        <v>-34.36</v>
      </c>
      <c r="U26" s="3">
        <v>0.16</v>
      </c>
      <c r="V26" s="3" t="s">
        <v>48</v>
      </c>
      <c r="W26" s="3">
        <v>1.839</v>
      </c>
      <c r="X26" s="3" t="s">
        <v>48</v>
      </c>
      <c r="Y26" s="3"/>
      <c r="Z26" s="3">
        <v>6.0220000000000002</v>
      </c>
      <c r="AA26" s="3">
        <v>16.399999999999999</v>
      </c>
      <c r="AB26" s="3">
        <v>0.49</v>
      </c>
      <c r="AC26" s="3">
        <v>4.16</v>
      </c>
      <c r="AD26" s="3">
        <v>1.181</v>
      </c>
      <c r="AE26" s="3">
        <v>0</v>
      </c>
      <c r="AF26" s="3">
        <v>2.0680000000000001</v>
      </c>
      <c r="AG26" s="3">
        <v>2.34</v>
      </c>
      <c r="AH26" s="3">
        <v>86</v>
      </c>
      <c r="AI26" s="3">
        <v>40.0110987392315</v>
      </c>
      <c r="AJ26" s="3">
        <v>9.1260940980063303</v>
      </c>
      <c r="AK26" s="3">
        <v>9.1205001748194195E-2</v>
      </c>
      <c r="AL26" s="3">
        <v>1.3835345445563501</v>
      </c>
      <c r="AM26" s="3">
        <v>0.26928852816462101</v>
      </c>
      <c r="AN26" s="3">
        <v>0.40002942206850101</v>
      </c>
      <c r="AO26" s="3">
        <v>6.07993408753459E-2</v>
      </c>
      <c r="AP26" s="3">
        <v>3.7371295179286897E-2</v>
      </c>
      <c r="AQ26" s="3">
        <v>14.1378069028805</v>
      </c>
      <c r="AR26" s="3">
        <v>0.17918343476030599</v>
      </c>
      <c r="AS26" s="3">
        <v>4.4682952702934903E-2</v>
      </c>
      <c r="AT26" s="3">
        <v>4.2149742687622102E-3</v>
      </c>
      <c r="AU26" s="3">
        <v>2.512</v>
      </c>
      <c r="AV26" s="3">
        <v>16.07</v>
      </c>
      <c r="AW26" s="3">
        <v>13.56</v>
      </c>
      <c r="AX26" s="1">
        <v>3.5073768749999998</v>
      </c>
      <c r="AY26" s="1">
        <v>-1.405095698</v>
      </c>
      <c r="AZ26" s="1">
        <v>2.1022811770000001</v>
      </c>
      <c r="BA26" s="1">
        <v>0.51888381800000005</v>
      </c>
    </row>
    <row r="27" spans="1:53" hidden="1" x14ac:dyDescent="0.35">
      <c r="A27" s="2" t="s">
        <v>64</v>
      </c>
      <c r="B27" s="1" t="s">
        <v>56</v>
      </c>
      <c r="C27" s="4">
        <v>0.75</v>
      </c>
      <c r="D27" s="5">
        <v>45697</v>
      </c>
      <c r="E27" s="13">
        <f t="shared" si="0"/>
        <v>45697.75</v>
      </c>
      <c r="F27" s="3">
        <v>9.5000000000000001E-2</v>
      </c>
      <c r="G27" s="3">
        <v>85.9</v>
      </c>
      <c r="H27" s="3">
        <v>119.8</v>
      </c>
      <c r="I27" s="3">
        <v>78</v>
      </c>
      <c r="J27" s="3">
        <v>0.06</v>
      </c>
      <c r="K27" s="3">
        <v>94.5</v>
      </c>
      <c r="L27" s="3">
        <v>10.61</v>
      </c>
      <c r="M27" s="3">
        <v>7.68</v>
      </c>
      <c r="N27" s="3">
        <v>10.592000000000001</v>
      </c>
      <c r="O27" s="3">
        <v>3.83</v>
      </c>
      <c r="P27" s="3">
        <v>-9.4700000000000006</v>
      </c>
      <c r="Q27" s="3">
        <v>0.04</v>
      </c>
      <c r="R27" s="3">
        <v>-5.93</v>
      </c>
      <c r="S27" s="3">
        <v>0.1</v>
      </c>
      <c r="T27" s="3">
        <v>-34.46</v>
      </c>
      <c r="U27" s="3">
        <v>0.23</v>
      </c>
      <c r="V27" s="3" t="s">
        <v>48</v>
      </c>
      <c r="W27" s="3">
        <v>1.841</v>
      </c>
      <c r="X27" s="3" t="s">
        <v>48</v>
      </c>
      <c r="Y27" s="3"/>
      <c r="Z27" s="3">
        <v>6.0220000000000002</v>
      </c>
      <c r="AA27" s="3">
        <v>16.3</v>
      </c>
      <c r="AB27" s="3">
        <v>0.45400000000000001</v>
      </c>
      <c r="AC27" s="3">
        <v>4.13</v>
      </c>
      <c r="AD27" s="3">
        <v>1.099</v>
      </c>
      <c r="AE27" s="3">
        <v>6.2199999999999998E-2</v>
      </c>
      <c r="AF27" s="3">
        <v>2.008</v>
      </c>
      <c r="AG27" s="3">
        <v>2.34</v>
      </c>
      <c r="AH27" s="3">
        <v>82</v>
      </c>
      <c r="AI27" s="3">
        <v>38.231489384215102</v>
      </c>
      <c r="AJ27" s="3">
        <v>8.5435622925076409</v>
      </c>
      <c r="AK27" s="3">
        <v>8.1057458114791606E-2</v>
      </c>
      <c r="AL27" s="3">
        <v>0.64472359048012595</v>
      </c>
      <c r="AM27" s="3">
        <v>0.24746884828770499</v>
      </c>
      <c r="AN27" s="3">
        <v>0.55385050079916798</v>
      </c>
      <c r="AO27" s="3">
        <v>4.8208899689843397E-2</v>
      </c>
      <c r="AP27" s="3">
        <v>3.4474559446068802E-2</v>
      </c>
      <c r="AQ27" s="3">
        <v>14.457346889385899</v>
      </c>
      <c r="AR27" s="3">
        <v>0.122000815599759</v>
      </c>
      <c r="AS27" s="3">
        <v>2.5396832981478001E-2</v>
      </c>
      <c r="AT27" s="3">
        <v>3.6732199705073101E-3</v>
      </c>
      <c r="AU27" s="3">
        <v>2.532</v>
      </c>
      <c r="AV27" s="3">
        <v>16.100000000000001</v>
      </c>
      <c r="AW27" s="3">
        <v>13.56</v>
      </c>
      <c r="AX27" s="1">
        <v>0.372003107</v>
      </c>
      <c r="AY27" s="1">
        <v>-1.2401868659999999</v>
      </c>
      <c r="AZ27" s="1">
        <v>-0.868183759</v>
      </c>
      <c r="BA27" s="1">
        <v>0.55667510499999995</v>
      </c>
    </row>
    <row r="28" spans="1:53" hidden="1" x14ac:dyDescent="0.35">
      <c r="A28" s="2" t="s">
        <v>58</v>
      </c>
      <c r="B28" s="1" t="s">
        <v>43</v>
      </c>
      <c r="C28" s="4">
        <v>0.75</v>
      </c>
      <c r="D28" s="5">
        <v>45765</v>
      </c>
      <c r="E28" s="13">
        <f t="shared" si="0"/>
        <v>45765.75</v>
      </c>
      <c r="F28" s="11">
        <v>0.123</v>
      </c>
      <c r="G28" s="10">
        <v>89.4</v>
      </c>
      <c r="H28" s="10">
        <v>99</v>
      </c>
      <c r="I28" s="10">
        <v>64</v>
      </c>
      <c r="J28" s="10">
        <v>0.05</v>
      </c>
      <c r="K28" s="10">
        <v>102.9</v>
      </c>
      <c r="L28" s="10">
        <v>9.3699999999999992</v>
      </c>
      <c r="M28" s="10">
        <v>8.0299999999999994</v>
      </c>
      <c r="N28" s="10">
        <v>19.936</v>
      </c>
      <c r="O28" s="10">
        <v>4.9800000000000004</v>
      </c>
      <c r="P28" s="10">
        <v>-9.8699999999999992</v>
      </c>
      <c r="Q28" s="10">
        <v>0.08</v>
      </c>
      <c r="R28" s="10">
        <v>-4.68</v>
      </c>
      <c r="S28" s="10">
        <v>0.04</v>
      </c>
      <c r="T28" s="10">
        <v>-26.38</v>
      </c>
      <c r="U28" s="10">
        <v>0.13</v>
      </c>
      <c r="V28" s="10" t="s">
        <v>48</v>
      </c>
      <c r="W28" s="10">
        <v>1.5409999999999999</v>
      </c>
      <c r="X28" s="10">
        <v>0.127</v>
      </c>
      <c r="Y28" s="10">
        <v>0.14099999999999999</v>
      </c>
      <c r="Z28" s="10">
        <v>4.9690000000000003</v>
      </c>
      <c r="AA28" s="10">
        <v>13.5</v>
      </c>
      <c r="AB28" s="10">
        <v>2.9000000000000001E-2</v>
      </c>
      <c r="AC28" s="10">
        <v>3.28</v>
      </c>
      <c r="AD28" s="10">
        <v>0.97499999999999998</v>
      </c>
      <c r="AE28" s="8">
        <v>4.8500000000000001E-2</v>
      </c>
      <c r="AF28" s="10">
        <v>1.7330000000000001</v>
      </c>
      <c r="AG28" s="10">
        <v>3.01</v>
      </c>
      <c r="AH28" s="10">
        <v>128.60504618024899</v>
      </c>
      <c r="AI28" s="10">
        <v>18.253693099000799</v>
      </c>
      <c r="AJ28" s="10">
        <v>2.1916249983390999</v>
      </c>
      <c r="AK28" s="10">
        <v>0.19491861397767901</v>
      </c>
      <c r="AL28" s="10">
        <v>2.13277161918043</v>
      </c>
      <c r="AM28" s="10">
        <v>0.55698546669747795</v>
      </c>
      <c r="AN28" s="10">
        <v>0.51920679349505305</v>
      </c>
      <c r="AO28" s="10">
        <v>0.60272329597273799</v>
      </c>
      <c r="AP28" s="10">
        <v>9.2043646171740406E-2</v>
      </c>
      <c r="AQ28" s="10">
        <v>20.283542271286102</v>
      </c>
      <c r="AR28" s="10">
        <v>0.47209690551369698</v>
      </c>
      <c r="AS28" s="10">
        <v>-5.8822860337511898E-2</v>
      </c>
      <c r="AT28" s="10">
        <v>1.3502467394286699E-2</v>
      </c>
      <c r="AU28" s="10">
        <v>3.782</v>
      </c>
      <c r="AV28" s="10">
        <v>15.13</v>
      </c>
      <c r="AW28" s="10">
        <v>11.34</v>
      </c>
      <c r="AX28" s="1">
        <v>3.1632611279999998</v>
      </c>
      <c r="AY28" s="1">
        <v>-3.2430614659999999</v>
      </c>
      <c r="AZ28" s="1">
        <v>-7.9800338999999998E-2</v>
      </c>
      <c r="BA28" s="1">
        <v>1.330328696</v>
      </c>
    </row>
    <row r="29" spans="1:53" hidden="1" x14ac:dyDescent="0.35">
      <c r="A29" s="2" t="s">
        <v>58</v>
      </c>
      <c r="B29" s="1" t="s">
        <v>44</v>
      </c>
      <c r="C29" s="4">
        <v>0.91666666666666663</v>
      </c>
      <c r="D29" s="5">
        <v>45765</v>
      </c>
      <c r="E29" s="13">
        <f t="shared" si="0"/>
        <v>45765.916666666664</v>
      </c>
      <c r="F29" s="11">
        <v>0.13700000000000001</v>
      </c>
      <c r="G29" s="10">
        <v>89</v>
      </c>
      <c r="H29" s="10">
        <v>99.3</v>
      </c>
      <c r="I29" s="10">
        <v>65</v>
      </c>
      <c r="J29" s="10">
        <v>0.05</v>
      </c>
      <c r="K29" s="10">
        <v>101.7</v>
      </c>
      <c r="L29" s="10">
        <v>9.32</v>
      </c>
      <c r="M29" s="10">
        <v>7.7</v>
      </c>
      <c r="N29" s="10">
        <v>19.611999999999998</v>
      </c>
      <c r="O29" s="10">
        <v>3.03</v>
      </c>
      <c r="P29" s="10">
        <v>-10.039999999999999</v>
      </c>
      <c r="Q29" s="10">
        <v>0.05</v>
      </c>
      <c r="R29" s="10">
        <v>-4.71</v>
      </c>
      <c r="S29" s="10">
        <v>0.01</v>
      </c>
      <c r="T29" s="10">
        <v>-26.53</v>
      </c>
      <c r="U29" s="10">
        <v>0.06</v>
      </c>
      <c r="V29" s="10" t="s">
        <v>48</v>
      </c>
      <c r="W29" s="10">
        <v>1.5289999999999999</v>
      </c>
      <c r="X29" s="10">
        <v>0.128</v>
      </c>
      <c r="Y29" s="10">
        <v>0.115</v>
      </c>
      <c r="Z29" s="10">
        <v>4.9169999999999998</v>
      </c>
      <c r="AA29" s="10">
        <v>14.2</v>
      </c>
      <c r="AB29" s="10">
        <v>0.21299999999999999</v>
      </c>
      <c r="AC29" s="10">
        <v>3.34</v>
      </c>
      <c r="AD29" s="10">
        <v>0.96</v>
      </c>
      <c r="AE29" s="8">
        <v>4.1000000000000002E-2</v>
      </c>
      <c r="AF29" s="10">
        <v>1.748</v>
      </c>
      <c r="AG29" s="10">
        <v>3</v>
      </c>
      <c r="AH29" s="10">
        <v>139.53767754829801</v>
      </c>
      <c r="AI29" s="10">
        <v>23.178546414436699</v>
      </c>
      <c r="AJ29" s="10">
        <v>3.61393469142216</v>
      </c>
      <c r="AK29" s="10">
        <v>0.22312766606953299</v>
      </c>
      <c r="AL29" s="10">
        <v>7.7890953930605802</v>
      </c>
      <c r="AM29" s="10">
        <v>0.477454293649129</v>
      </c>
      <c r="AN29" s="10">
        <v>5.6666458292985299E-2</v>
      </c>
      <c r="AO29" s="10">
        <v>0.63511218533054103</v>
      </c>
      <c r="AP29" s="10">
        <v>7.4676543489801198E-2</v>
      </c>
      <c r="AQ29" s="10">
        <v>20.857283154857601</v>
      </c>
      <c r="AR29" s="10">
        <v>0.129400070081507</v>
      </c>
      <c r="AS29" s="10">
        <v>4.2458676268042797E-2</v>
      </c>
      <c r="AT29" s="10">
        <v>1.9413685221327401E-2</v>
      </c>
      <c r="AU29" s="10">
        <v>2.8879999999999999</v>
      </c>
      <c r="AV29" s="10">
        <v>14.69</v>
      </c>
      <c r="AW29" s="10">
        <v>11.8</v>
      </c>
      <c r="AX29" s="1">
        <v>0</v>
      </c>
      <c r="AY29" s="1">
        <v>-3.0775714430000001</v>
      </c>
      <c r="AZ29" s="1">
        <v>-3.0775714430000001</v>
      </c>
      <c r="BA29" s="1">
        <v>1.0321446759999999</v>
      </c>
    </row>
    <row r="30" spans="1:53" hidden="1" x14ac:dyDescent="0.35">
      <c r="A30" s="2" t="s">
        <v>58</v>
      </c>
      <c r="B30" s="1" t="s">
        <v>45</v>
      </c>
      <c r="C30" s="4">
        <v>8.3333333333333329E-2</v>
      </c>
      <c r="D30" s="5">
        <v>45766</v>
      </c>
      <c r="E30" s="13">
        <f t="shared" si="0"/>
        <v>45766.083333333336</v>
      </c>
      <c r="F30" s="11">
        <v>0.13500000000000001</v>
      </c>
      <c r="G30" s="10">
        <v>89</v>
      </c>
      <c r="H30" s="10">
        <v>99.8</v>
      </c>
      <c r="I30" s="10">
        <v>65</v>
      </c>
      <c r="J30" s="10">
        <v>0.05</v>
      </c>
      <c r="K30" s="10">
        <v>98.6</v>
      </c>
      <c r="L30" s="10">
        <v>9.08</v>
      </c>
      <c r="M30" s="10">
        <v>7.56</v>
      </c>
      <c r="N30" s="10">
        <v>19.327000000000002</v>
      </c>
      <c r="O30" s="10">
        <v>3.42</v>
      </c>
      <c r="P30" s="10">
        <v>-10.29</v>
      </c>
      <c r="Q30" s="10">
        <v>0.04</v>
      </c>
      <c r="R30" s="10">
        <v>-4.67</v>
      </c>
      <c r="S30" s="10">
        <v>0.01</v>
      </c>
      <c r="T30" s="10">
        <v>-26.3</v>
      </c>
      <c r="U30" s="10">
        <v>0.08</v>
      </c>
      <c r="V30" s="10" t="s">
        <v>48</v>
      </c>
      <c r="W30" s="10">
        <v>1.5369999999999999</v>
      </c>
      <c r="X30" s="10">
        <v>0.128</v>
      </c>
      <c r="Y30" s="10">
        <v>0.107</v>
      </c>
      <c r="Z30" s="10">
        <v>4.9210000000000003</v>
      </c>
      <c r="AA30" s="10">
        <v>14.3</v>
      </c>
      <c r="AB30" s="10">
        <v>0.224</v>
      </c>
      <c r="AC30" s="10">
        <v>3.44</v>
      </c>
      <c r="AD30" s="10">
        <v>0.92700000000000005</v>
      </c>
      <c r="AE30" s="8">
        <v>4.8599999999999997E-2</v>
      </c>
      <c r="AF30" s="10">
        <v>1.7030000000000001</v>
      </c>
      <c r="AG30" s="10">
        <v>3.04</v>
      </c>
      <c r="AH30" s="10">
        <v>149.735753627631</v>
      </c>
      <c r="AI30" s="10">
        <v>34.731194394534697</v>
      </c>
      <c r="AJ30" s="10">
        <v>3.8980191135412601</v>
      </c>
      <c r="AK30" s="10">
        <v>0.22418308178493501</v>
      </c>
      <c r="AL30" s="10">
        <v>4.2890919198109501</v>
      </c>
      <c r="AM30" s="10">
        <v>0.478951215435169</v>
      </c>
      <c r="AN30" s="10">
        <v>-2.4857824636908998E-2</v>
      </c>
      <c r="AO30" s="10">
        <v>0.58062800244423796</v>
      </c>
      <c r="AP30" s="10">
        <v>6.6073551442659695E-2</v>
      </c>
      <c r="AQ30" s="10">
        <v>20.020214025825201</v>
      </c>
      <c r="AR30" s="10">
        <v>0.102422767818985</v>
      </c>
      <c r="AS30" s="10">
        <v>4.3935687145720097E-2</v>
      </c>
      <c r="AT30" s="10">
        <v>6.8730391080310399E-3</v>
      </c>
      <c r="AU30" s="10">
        <v>2.8079999999999998</v>
      </c>
      <c r="AV30" s="10">
        <v>14.43</v>
      </c>
      <c r="AW30" s="10">
        <v>11.62</v>
      </c>
      <c r="AX30" s="1">
        <v>0</v>
      </c>
      <c r="AY30" s="1">
        <v>-2.9878320289999998</v>
      </c>
      <c r="AZ30" s="1">
        <v>-2.9878320289999998</v>
      </c>
      <c r="BA30" s="1">
        <v>0.99826559599999998</v>
      </c>
    </row>
    <row r="31" spans="1:53" hidden="1" x14ac:dyDescent="0.35">
      <c r="A31" s="2" t="s">
        <v>58</v>
      </c>
      <c r="B31" s="1" t="s">
        <v>46</v>
      </c>
      <c r="C31" s="4">
        <v>0.25</v>
      </c>
      <c r="D31" s="5">
        <v>45766</v>
      </c>
      <c r="E31" s="13">
        <f t="shared" si="0"/>
        <v>45766.25</v>
      </c>
      <c r="F31" s="11">
        <v>0.153</v>
      </c>
      <c r="G31" s="10">
        <v>88.7</v>
      </c>
      <c r="H31" s="10">
        <v>99.9</v>
      </c>
      <c r="I31" s="10">
        <v>65</v>
      </c>
      <c r="J31" s="10">
        <v>0.05</v>
      </c>
      <c r="K31" s="10">
        <v>94.1</v>
      </c>
      <c r="L31" s="10">
        <v>8.7100000000000009</v>
      </c>
      <c r="M31" s="12">
        <v>7.49</v>
      </c>
      <c r="N31" s="10">
        <v>19.131</v>
      </c>
      <c r="O31" s="10">
        <v>2.74</v>
      </c>
      <c r="P31" s="10">
        <v>-10.54</v>
      </c>
      <c r="Q31" s="10">
        <v>0.05</v>
      </c>
      <c r="R31" s="10">
        <v>-4.62</v>
      </c>
      <c r="S31" s="10">
        <v>0.02</v>
      </c>
      <c r="T31" s="10">
        <v>-26.05</v>
      </c>
      <c r="U31" s="10">
        <v>0.08</v>
      </c>
      <c r="V31" s="10" t="s">
        <v>48</v>
      </c>
      <c r="W31" s="10">
        <v>2.556</v>
      </c>
      <c r="X31" s="10">
        <v>0.17499999999999999</v>
      </c>
      <c r="Y31" s="10">
        <v>0.252</v>
      </c>
      <c r="Z31" s="10">
        <v>8.3350000000000009</v>
      </c>
      <c r="AA31" s="10">
        <v>15.4</v>
      </c>
      <c r="AB31" s="10">
        <v>0.40799999999999997</v>
      </c>
      <c r="AC31" s="10">
        <v>3.52</v>
      </c>
      <c r="AD31" s="10">
        <v>1.7290000000000001</v>
      </c>
      <c r="AE31" s="8">
        <v>6.7599999999999993E-2</v>
      </c>
      <c r="AF31" s="10">
        <v>2.8420000000000001</v>
      </c>
      <c r="AG31" s="10">
        <v>2.99</v>
      </c>
      <c r="AH31" s="10">
        <v>147.25907403252299</v>
      </c>
      <c r="AI31" s="10">
        <v>61.583787390976703</v>
      </c>
      <c r="AJ31" s="10">
        <v>2.20752974575873</v>
      </c>
      <c r="AK31" s="10">
        <v>0.220205681688079</v>
      </c>
      <c r="AL31" s="10">
        <v>8.5759294846236198</v>
      </c>
      <c r="AM31" s="10">
        <v>0.42751310157081102</v>
      </c>
      <c r="AN31" s="10">
        <v>-7.6972789523910304E-2</v>
      </c>
      <c r="AO31" s="10">
        <v>0.58321038260266</v>
      </c>
      <c r="AP31" s="10">
        <v>7.5990119101773806E-2</v>
      </c>
      <c r="AQ31" s="10">
        <v>19.0549536728963</v>
      </c>
      <c r="AR31" s="10">
        <v>9.3604114490204102E-2</v>
      </c>
      <c r="AS31" s="10">
        <v>9.8772267079082106E-3</v>
      </c>
      <c r="AT31" s="10">
        <v>6.6447486905615999E-3</v>
      </c>
      <c r="AU31" s="10">
        <v>3.8889999999999998</v>
      </c>
      <c r="AV31" s="10">
        <v>16.100000000000001</v>
      </c>
      <c r="AW31" s="10">
        <v>12.22</v>
      </c>
      <c r="AX31" s="1">
        <v>0</v>
      </c>
      <c r="AY31" s="1">
        <v>-2.8971262370000002</v>
      </c>
      <c r="AZ31" s="1">
        <v>-2.8971262370000002</v>
      </c>
      <c r="BA31" s="1">
        <v>0.902699574</v>
      </c>
    </row>
    <row r="32" spans="1:53" hidden="1" x14ac:dyDescent="0.35">
      <c r="A32" s="2" t="s">
        <v>58</v>
      </c>
      <c r="B32" s="1" t="s">
        <v>47</v>
      </c>
      <c r="C32" s="4">
        <v>0.41666666666666669</v>
      </c>
      <c r="D32" s="5">
        <v>45766</v>
      </c>
      <c r="E32" s="13">
        <f t="shared" si="0"/>
        <v>45766.416666666664</v>
      </c>
      <c r="F32" s="11">
        <v>0.16500000000000001</v>
      </c>
      <c r="G32" s="10">
        <v>91.5</v>
      </c>
      <c r="H32" s="10">
        <v>102.2</v>
      </c>
      <c r="I32" s="10">
        <v>66</v>
      </c>
      <c r="J32" s="10">
        <v>0.05</v>
      </c>
      <c r="K32" s="10">
        <v>91.7</v>
      </c>
      <c r="L32" s="10">
        <v>8.42</v>
      </c>
      <c r="M32" s="12">
        <v>7.64</v>
      </c>
      <c r="N32" s="10">
        <v>19.538</v>
      </c>
      <c r="O32" s="10">
        <v>3.59</v>
      </c>
      <c r="P32" s="10">
        <v>-10.47</v>
      </c>
      <c r="Q32" s="10">
        <v>0.06</v>
      </c>
      <c r="R32" s="10">
        <v>-4.74</v>
      </c>
      <c r="S32" s="10">
        <v>0.02</v>
      </c>
      <c r="T32" s="10">
        <v>-26.6</v>
      </c>
      <c r="U32" s="10">
        <v>0.02</v>
      </c>
      <c r="V32" s="10" t="s">
        <v>48</v>
      </c>
      <c r="W32" s="10">
        <v>1.5309999999999999</v>
      </c>
      <c r="X32" s="10" t="s">
        <v>48</v>
      </c>
      <c r="Y32" s="10">
        <v>9.8000000000000004E-2</v>
      </c>
      <c r="Z32" s="10">
        <v>4.859</v>
      </c>
      <c r="AA32" s="10">
        <v>13.9</v>
      </c>
      <c r="AB32" s="10">
        <v>7.5999999999999998E-2</v>
      </c>
      <c r="AC32" s="10">
        <v>3.37</v>
      </c>
      <c r="AD32" s="10">
        <v>0.89900000000000002</v>
      </c>
      <c r="AE32" s="8">
        <v>3.4500000000000003E-2</v>
      </c>
      <c r="AF32" s="10">
        <v>1.7</v>
      </c>
      <c r="AG32" s="10">
        <v>2.96</v>
      </c>
      <c r="AH32" s="10">
        <v>137.89374739060699</v>
      </c>
      <c r="AI32" s="10">
        <v>28.764582465338801</v>
      </c>
      <c r="AJ32" s="10">
        <v>1.8858886659292899</v>
      </c>
      <c r="AK32" s="10">
        <v>0.25852789704917001</v>
      </c>
      <c r="AL32" s="10">
        <v>1.5798692333102999</v>
      </c>
      <c r="AM32" s="10">
        <v>0.46807602339188298</v>
      </c>
      <c r="AN32" s="10">
        <v>0.101981279452554</v>
      </c>
      <c r="AO32" s="10">
        <v>0.64859047532973402</v>
      </c>
      <c r="AP32" s="10">
        <v>7.7790117451753502E-2</v>
      </c>
      <c r="AQ32" s="10">
        <v>22.291675761110898</v>
      </c>
      <c r="AR32" s="10">
        <v>5.92024341595042E-2</v>
      </c>
      <c r="AS32" s="10">
        <v>0.111665505862964</v>
      </c>
      <c r="AT32" s="10">
        <v>6.2018047296436302E-3</v>
      </c>
      <c r="AU32" s="10">
        <v>3.0619999999999998</v>
      </c>
      <c r="AV32" s="10">
        <v>15.07</v>
      </c>
      <c r="AW32" s="10">
        <v>12.01</v>
      </c>
      <c r="AX32" s="1">
        <v>6.2706768640000004</v>
      </c>
      <c r="AY32" s="1">
        <v>-2.9929624920000002</v>
      </c>
      <c r="AZ32" s="1">
        <v>3.2777143720000002</v>
      </c>
      <c r="BA32" s="1">
        <v>1.1905128920000001</v>
      </c>
    </row>
    <row r="33" spans="1:53" hidden="1" x14ac:dyDescent="0.35">
      <c r="A33" s="2" t="s">
        <v>58</v>
      </c>
      <c r="B33" s="1" t="s">
        <v>49</v>
      </c>
      <c r="C33" s="7">
        <v>0.58333333333333337</v>
      </c>
      <c r="D33" s="5">
        <v>45766</v>
      </c>
      <c r="E33" s="13">
        <f t="shared" si="0"/>
        <v>45766.583333333336</v>
      </c>
      <c r="F33" s="11">
        <v>0.13400000000000001</v>
      </c>
      <c r="G33" s="12">
        <v>92.1</v>
      </c>
      <c r="H33" s="12">
        <v>101</v>
      </c>
      <c r="I33" s="12">
        <v>66</v>
      </c>
      <c r="J33" s="12">
        <v>0.05</v>
      </c>
      <c r="K33" s="12">
        <v>103.5</v>
      </c>
      <c r="L33" s="12">
        <v>9.34</v>
      </c>
      <c r="M33" s="12">
        <v>8.4700000000000006</v>
      </c>
      <c r="N33" s="12">
        <v>20.381</v>
      </c>
      <c r="O33" s="12">
        <v>3.07</v>
      </c>
      <c r="P33" s="10">
        <v>-9.9700000000000006</v>
      </c>
      <c r="Q33" s="10">
        <v>0.04</v>
      </c>
      <c r="R33" s="10">
        <v>-4.75</v>
      </c>
      <c r="S33" s="10">
        <v>0.01</v>
      </c>
      <c r="T33" s="10">
        <v>-26.65</v>
      </c>
      <c r="U33" s="10">
        <v>0.06</v>
      </c>
      <c r="V33" s="10" t="s">
        <v>48</v>
      </c>
      <c r="W33" s="10">
        <v>1.528</v>
      </c>
      <c r="X33" s="10" t="s">
        <v>48</v>
      </c>
      <c r="Y33" s="10" t="s">
        <v>48</v>
      </c>
      <c r="Z33" s="10">
        <v>4.8979999999999997</v>
      </c>
      <c r="AA33" s="10">
        <v>13.8</v>
      </c>
      <c r="AB33" s="10">
        <v>7.0000000000000001E-3</v>
      </c>
      <c r="AC33" s="10">
        <v>3.36</v>
      </c>
      <c r="AD33" s="10">
        <v>0.88300000000000001</v>
      </c>
      <c r="AE33" s="8">
        <v>2.98E-2</v>
      </c>
      <c r="AF33" s="10">
        <v>1.69</v>
      </c>
      <c r="AG33" s="10">
        <v>3.02</v>
      </c>
      <c r="AH33" s="10">
        <v>136.88950234284201</v>
      </c>
      <c r="AI33" s="10">
        <v>8.0852855167646407</v>
      </c>
      <c r="AJ33" s="10">
        <v>1.4042908248799499</v>
      </c>
      <c r="AK33" s="10">
        <v>7.8944831910614192E-3</v>
      </c>
      <c r="AL33" s="10">
        <v>0.93981716196146903</v>
      </c>
      <c r="AM33" s="10">
        <v>0.50089169861623495</v>
      </c>
      <c r="AN33" s="10">
        <v>3.32150960509126E-2</v>
      </c>
      <c r="AO33" s="10">
        <v>0.56294631263535999</v>
      </c>
      <c r="AP33" s="10">
        <v>4.9466060482987802E-2</v>
      </c>
      <c r="AQ33" s="10">
        <v>19.249900095272501</v>
      </c>
      <c r="AR33" s="10">
        <v>0.50873493557234295</v>
      </c>
      <c r="AS33" s="10">
        <v>2.7788911572146401E-3</v>
      </c>
      <c r="AT33" s="10">
        <v>8.0423531307914596E-3</v>
      </c>
      <c r="AU33" s="10">
        <v>3.87</v>
      </c>
      <c r="AV33" s="10">
        <v>15.58</v>
      </c>
      <c r="AW33" s="10">
        <v>11.71</v>
      </c>
      <c r="AX33" s="1">
        <v>10.385180849999999</v>
      </c>
      <c r="AY33" s="1">
        <v>-3.2398936190000001</v>
      </c>
      <c r="AZ33" s="1">
        <v>7.1452872330000003</v>
      </c>
      <c r="BA33" s="1">
        <v>1.0619828899999999</v>
      </c>
    </row>
    <row r="34" spans="1:53" hidden="1" x14ac:dyDescent="0.35">
      <c r="A34" s="2" t="s">
        <v>58</v>
      </c>
      <c r="B34" s="1" t="s">
        <v>50</v>
      </c>
      <c r="C34" s="4">
        <v>0.75</v>
      </c>
      <c r="D34" s="5">
        <v>45766</v>
      </c>
      <c r="E34" s="13">
        <f t="shared" si="0"/>
        <v>45766.75</v>
      </c>
      <c r="F34" s="11">
        <v>0.125</v>
      </c>
      <c r="G34" s="10">
        <v>95.6</v>
      </c>
      <c r="H34" s="10">
        <v>103.2</v>
      </c>
      <c r="I34" s="10">
        <v>67</v>
      </c>
      <c r="J34" s="10">
        <v>0.05</v>
      </c>
      <c r="K34" s="10">
        <v>105.1</v>
      </c>
      <c r="L34" s="10">
        <v>9.34</v>
      </c>
      <c r="M34" s="10">
        <v>8.17</v>
      </c>
      <c r="N34" s="10">
        <v>21.164999999999999</v>
      </c>
      <c r="O34" s="10">
        <v>3.17</v>
      </c>
      <c r="P34" s="10">
        <v>-9.84</v>
      </c>
      <c r="Q34" s="10">
        <v>0.04</v>
      </c>
      <c r="R34" s="10">
        <v>-4.7</v>
      </c>
      <c r="S34" s="10">
        <v>0.01</v>
      </c>
      <c r="T34" s="10">
        <v>-26.35</v>
      </c>
      <c r="U34" s="10">
        <v>0.08</v>
      </c>
      <c r="V34" s="10" t="s">
        <v>48</v>
      </c>
      <c r="W34" s="10">
        <v>1.528</v>
      </c>
      <c r="X34" s="10" t="s">
        <v>48</v>
      </c>
      <c r="Y34" s="10">
        <v>9.6000000000000002E-2</v>
      </c>
      <c r="Z34" s="10">
        <v>4.8620000000000001</v>
      </c>
      <c r="AA34" s="10">
        <v>13.2</v>
      </c>
      <c r="AB34" s="10">
        <v>8.2000000000000003E-2</v>
      </c>
      <c r="AC34" s="10">
        <v>3.29</v>
      </c>
      <c r="AD34" s="10">
        <v>0.97099999999999997</v>
      </c>
      <c r="AE34" s="8">
        <v>3.9800000000000002E-2</v>
      </c>
      <c r="AF34" s="10">
        <v>1.756</v>
      </c>
      <c r="AG34" s="10">
        <v>2.96</v>
      </c>
      <c r="AH34" s="10">
        <v>129.54442932051001</v>
      </c>
      <c r="AI34" s="10">
        <v>3.6070504934376402</v>
      </c>
      <c r="AJ34" s="10">
        <v>2.3436662191694699</v>
      </c>
      <c r="AK34" s="10">
        <v>8.0382373334064394E-2</v>
      </c>
      <c r="AL34" s="10">
        <v>1.79831438123111</v>
      </c>
      <c r="AM34" s="10">
        <v>0.55750231373889803</v>
      </c>
      <c r="AN34" s="10">
        <v>0.22739489942317301</v>
      </c>
      <c r="AO34" s="10">
        <v>0.52194153585042202</v>
      </c>
      <c r="AP34" s="10">
        <v>8.3683910567557404E-2</v>
      </c>
      <c r="AQ34" s="10">
        <v>21.5527488358188</v>
      </c>
      <c r="AR34" s="10">
        <v>0.31450284977709297</v>
      </c>
      <c r="AS34" s="10">
        <v>2.8542007817445599E-2</v>
      </c>
      <c r="AT34" s="10">
        <v>6.6353960781124896E-3</v>
      </c>
      <c r="AU34" s="10">
        <v>3.5779999999999998</v>
      </c>
      <c r="AV34" s="10">
        <v>15.53</v>
      </c>
      <c r="AW34" s="10">
        <v>11.95</v>
      </c>
      <c r="AX34" s="1">
        <v>5.4275552300000003</v>
      </c>
      <c r="AY34" s="1">
        <v>-3.3067784900000001</v>
      </c>
      <c r="AZ34" s="1">
        <v>2.1207767400000002</v>
      </c>
      <c r="BA34" s="1">
        <v>0.87145652799999995</v>
      </c>
    </row>
    <row r="35" spans="1:53" hidden="1" x14ac:dyDescent="0.35">
      <c r="A35" s="2" t="s">
        <v>58</v>
      </c>
      <c r="B35" s="1" t="s">
        <v>51</v>
      </c>
      <c r="C35" s="7">
        <v>0.91666666666666663</v>
      </c>
      <c r="D35" s="5">
        <v>45766</v>
      </c>
      <c r="E35" s="13">
        <f t="shared" si="0"/>
        <v>45766.916666666664</v>
      </c>
      <c r="F35" s="11">
        <v>0.13300000000000001</v>
      </c>
      <c r="G35" s="12">
        <v>97.2</v>
      </c>
      <c r="H35" s="12">
        <v>105</v>
      </c>
      <c r="I35" s="12">
        <v>68</v>
      </c>
      <c r="J35" s="12">
        <v>0.05</v>
      </c>
      <c r="K35" s="12">
        <v>102.4</v>
      </c>
      <c r="L35" s="12">
        <v>9.11</v>
      </c>
      <c r="M35" s="12">
        <v>7.67</v>
      </c>
      <c r="N35" s="12">
        <v>21.131</v>
      </c>
      <c r="O35" s="12">
        <v>2.64</v>
      </c>
      <c r="P35" s="10">
        <v>-9.9499999999999993</v>
      </c>
      <c r="Q35" s="10">
        <v>0.05</v>
      </c>
      <c r="R35" s="10">
        <v>-4.7</v>
      </c>
      <c r="S35" s="10">
        <v>0.01</v>
      </c>
      <c r="T35" s="10">
        <v>-26.36</v>
      </c>
      <c r="U35" s="10">
        <v>0.05</v>
      </c>
      <c r="V35" s="10" t="s">
        <v>48</v>
      </c>
      <c r="W35" s="10">
        <v>1.599</v>
      </c>
      <c r="X35" s="10">
        <v>0.129</v>
      </c>
      <c r="Y35" s="10">
        <v>0.38500000000000001</v>
      </c>
      <c r="Z35" s="10">
        <v>4.9950000000000001</v>
      </c>
      <c r="AA35" s="10">
        <v>14.3</v>
      </c>
      <c r="AB35" s="10">
        <v>1.7000000000000001E-2</v>
      </c>
      <c r="AC35" s="10">
        <v>3.51</v>
      </c>
      <c r="AD35" s="10">
        <v>0.92600000000000005</v>
      </c>
      <c r="AE35" s="8">
        <v>2.35E-2</v>
      </c>
      <c r="AF35" s="10">
        <v>1.7350000000000001</v>
      </c>
      <c r="AG35" s="10">
        <v>3</v>
      </c>
      <c r="AH35" s="10">
        <v>122.381329825225</v>
      </c>
      <c r="AI35" s="10">
        <v>4.1681450986278703</v>
      </c>
      <c r="AJ35" s="10">
        <v>0.52481732465620101</v>
      </c>
      <c r="AK35" s="10">
        <v>2.8854917553999802E-2</v>
      </c>
      <c r="AL35" s="10">
        <v>0.92107550029242902</v>
      </c>
      <c r="AM35" s="10">
        <v>0.45166381564493002</v>
      </c>
      <c r="AN35" s="10">
        <v>-0.64058546930979499</v>
      </c>
      <c r="AO35" s="10">
        <v>0.51746258310207205</v>
      </c>
      <c r="AP35" s="10">
        <v>4.8786808035031798E-2</v>
      </c>
      <c r="AQ35" s="10">
        <v>19.119834894222599</v>
      </c>
      <c r="AR35" s="10">
        <v>0.21101251981947999</v>
      </c>
      <c r="AS35" s="10">
        <v>-6.3396161418243597E-3</v>
      </c>
      <c r="AT35" s="10">
        <v>7.2917344420610599E-3</v>
      </c>
      <c r="AU35" s="10">
        <v>3.94</v>
      </c>
      <c r="AV35" s="10">
        <v>17.04</v>
      </c>
      <c r="AW35" s="10">
        <v>13.1</v>
      </c>
      <c r="AX35" s="1">
        <v>0</v>
      </c>
      <c r="AY35" s="1">
        <v>-3.0679548489999999</v>
      </c>
      <c r="AZ35" s="1">
        <v>-3.0679548489999999</v>
      </c>
      <c r="BA35" s="1">
        <v>0.78389845000000002</v>
      </c>
    </row>
    <row r="36" spans="1:53" hidden="1" x14ac:dyDescent="0.35">
      <c r="A36" s="2" t="s">
        <v>58</v>
      </c>
      <c r="B36" s="1" t="s">
        <v>52</v>
      </c>
      <c r="C36" s="4">
        <v>8.3333333333333329E-2</v>
      </c>
      <c r="D36" s="5">
        <v>45767</v>
      </c>
      <c r="E36" s="13">
        <f t="shared" si="0"/>
        <v>45767.083333333336</v>
      </c>
      <c r="F36" s="11">
        <v>0.127</v>
      </c>
      <c r="G36" s="10">
        <v>95.2</v>
      </c>
      <c r="H36" s="10">
        <v>103.7</v>
      </c>
      <c r="I36" s="10">
        <v>67</v>
      </c>
      <c r="J36" s="10">
        <v>0.05</v>
      </c>
      <c r="K36" s="10">
        <v>99.2</v>
      </c>
      <c r="L36" s="10">
        <v>8.9</v>
      </c>
      <c r="M36" s="10">
        <v>7.55</v>
      </c>
      <c r="N36" s="10">
        <v>20.709</v>
      </c>
      <c r="O36" s="12">
        <v>3.02</v>
      </c>
      <c r="P36" s="10">
        <v>-10.210000000000001</v>
      </c>
      <c r="Q36" s="10">
        <v>0.03</v>
      </c>
      <c r="R36" s="10">
        <v>-4.7300000000000004</v>
      </c>
      <c r="S36" s="10">
        <v>0.02</v>
      </c>
      <c r="T36" s="10">
        <v>-26.5</v>
      </c>
      <c r="U36" s="10">
        <v>0.08</v>
      </c>
      <c r="V36" s="10" t="s">
        <v>48</v>
      </c>
      <c r="W36" s="10">
        <v>1.5449999999999999</v>
      </c>
      <c r="X36" s="10">
        <v>0.13</v>
      </c>
      <c r="Y36" s="10" t="s">
        <v>48</v>
      </c>
      <c r="Z36" s="10">
        <v>4.931</v>
      </c>
      <c r="AA36" s="10">
        <v>14.4</v>
      </c>
      <c r="AB36" s="10">
        <v>7.0000000000000007E-2</v>
      </c>
      <c r="AC36" s="10">
        <v>3.47</v>
      </c>
      <c r="AD36" s="10">
        <v>0.93200000000000005</v>
      </c>
      <c r="AE36" s="8">
        <v>3.5299999999999998E-2</v>
      </c>
      <c r="AF36" s="10">
        <v>1.7250000000000001</v>
      </c>
      <c r="AG36" s="10">
        <v>2.99</v>
      </c>
      <c r="AH36" s="10">
        <v>131.23456689056499</v>
      </c>
      <c r="AI36" s="10">
        <v>17.4504745190895</v>
      </c>
      <c r="AJ36" s="10">
        <v>1.8278122444715199</v>
      </c>
      <c r="AK36" s="10">
        <v>0.15751823793026701</v>
      </c>
      <c r="AL36" s="10">
        <v>1.86329459453705</v>
      </c>
      <c r="AM36" s="10">
        <v>0.45285815620358999</v>
      </c>
      <c r="AN36" s="10">
        <v>-0.125166890769037</v>
      </c>
      <c r="AO36" s="10">
        <v>0.51093442286879998</v>
      </c>
      <c r="AP36" s="10">
        <v>7.5863734772780606E-2</v>
      </c>
      <c r="AQ36" s="10">
        <v>19.926531832404201</v>
      </c>
      <c r="AR36" s="10">
        <v>0.17091306741679901</v>
      </c>
      <c r="AS36" s="10">
        <v>1.7328207821624201E-2</v>
      </c>
      <c r="AT36" s="10">
        <v>1.053511488268E-2</v>
      </c>
      <c r="AU36" s="10">
        <v>3.8610000000000002</v>
      </c>
      <c r="AV36" s="10">
        <v>15.97</v>
      </c>
      <c r="AW36" s="10">
        <v>12.11</v>
      </c>
      <c r="AX36" s="1">
        <v>0</v>
      </c>
      <c r="AY36" s="1">
        <v>-2.9305013620000002</v>
      </c>
      <c r="AZ36" s="1">
        <v>-2.9305013620000002</v>
      </c>
      <c r="BA36" s="1">
        <v>0.69458451399999999</v>
      </c>
    </row>
    <row r="37" spans="1:53" hidden="1" x14ac:dyDescent="0.35">
      <c r="A37" s="2" t="s">
        <v>58</v>
      </c>
      <c r="B37" s="1" t="s">
        <v>53</v>
      </c>
      <c r="C37" s="4">
        <v>0.25</v>
      </c>
      <c r="D37" s="5">
        <v>45767</v>
      </c>
      <c r="E37" s="13">
        <f t="shared" si="0"/>
        <v>45767.25</v>
      </c>
      <c r="F37" s="11">
        <v>0.13</v>
      </c>
      <c r="G37" s="10">
        <v>93.6</v>
      </c>
      <c r="H37" s="10">
        <v>103.5</v>
      </c>
      <c r="I37" s="10">
        <v>67</v>
      </c>
      <c r="J37" s="10">
        <v>0.05</v>
      </c>
      <c r="K37" s="10">
        <v>98.6</v>
      </c>
      <c r="L37" s="10">
        <v>8.9600000000000009</v>
      </c>
      <c r="M37" s="10">
        <v>7.53</v>
      </c>
      <c r="N37" s="10">
        <v>20.033999999999999</v>
      </c>
      <c r="O37" s="10">
        <v>5.48</v>
      </c>
      <c r="P37" s="10">
        <v>-10.5</v>
      </c>
      <c r="Q37" s="10">
        <v>0.05</v>
      </c>
      <c r="R37" s="10">
        <v>-4.75</v>
      </c>
      <c r="S37" s="10">
        <v>0.01</v>
      </c>
      <c r="T37" s="10">
        <v>-26.61</v>
      </c>
      <c r="U37" s="10">
        <v>0.03</v>
      </c>
      <c r="V37" s="10" t="s">
        <v>48</v>
      </c>
      <c r="W37" s="10">
        <v>1.571</v>
      </c>
      <c r="X37" s="10" t="s">
        <v>48</v>
      </c>
      <c r="Y37" s="10">
        <v>9.5000000000000001E-2</v>
      </c>
      <c r="Z37" s="10">
        <v>4.944</v>
      </c>
      <c r="AA37" s="10">
        <v>14.6</v>
      </c>
      <c r="AB37" s="10">
        <v>1.7999999999999999E-2</v>
      </c>
      <c r="AC37" s="10">
        <v>3.48</v>
      </c>
      <c r="AD37" s="10">
        <v>0.90600000000000003</v>
      </c>
      <c r="AE37" s="8">
        <v>2.5700000000000001E-2</v>
      </c>
      <c r="AF37" s="10">
        <v>1.744</v>
      </c>
      <c r="AG37" s="10">
        <v>2.96</v>
      </c>
      <c r="AH37" s="10">
        <v>140.25670561415299</v>
      </c>
      <c r="AI37" s="10">
        <v>18.014475246437399</v>
      </c>
      <c r="AJ37" s="10">
        <v>2.45332267320275</v>
      </c>
      <c r="AK37" s="10">
        <v>0.17130985889268799</v>
      </c>
      <c r="AL37" s="10">
        <v>1.13258345170522</v>
      </c>
      <c r="AM37" s="10">
        <v>0.43565129923647899</v>
      </c>
      <c r="AN37" s="10">
        <v>-0.24358113233963599</v>
      </c>
      <c r="AO37" s="10">
        <v>0.47409717063541801</v>
      </c>
      <c r="AP37" s="10">
        <v>5.4567805904210301E-2</v>
      </c>
      <c r="AQ37" s="10">
        <v>20.4246083794004</v>
      </c>
      <c r="AR37" s="10">
        <v>0.125082992212592</v>
      </c>
      <c r="AS37" s="10">
        <v>9.9231213419970501E-2</v>
      </c>
      <c r="AT37" s="10">
        <v>7.8862527490895507E-3</v>
      </c>
      <c r="AU37" s="10">
        <v>3.8170000000000002</v>
      </c>
      <c r="AV37" s="10">
        <v>15.89</v>
      </c>
      <c r="AW37" s="10">
        <v>12.07</v>
      </c>
      <c r="AX37" s="1">
        <v>0</v>
      </c>
      <c r="AY37" s="1">
        <v>-2.8725486070000001</v>
      </c>
      <c r="AZ37" s="1">
        <v>-2.8725486070000001</v>
      </c>
      <c r="BA37" s="1">
        <v>0.67613080199999998</v>
      </c>
    </row>
    <row r="38" spans="1:53" hidden="1" x14ac:dyDescent="0.35">
      <c r="A38" s="2" t="s">
        <v>58</v>
      </c>
      <c r="B38" s="1" t="s">
        <v>54</v>
      </c>
      <c r="C38" s="4">
        <v>0.41666666666666669</v>
      </c>
      <c r="D38" s="5">
        <v>45767</v>
      </c>
      <c r="E38" s="13">
        <f t="shared" si="0"/>
        <v>45767.416666666664</v>
      </c>
      <c r="F38" s="11">
        <v>0.13100000000000001</v>
      </c>
      <c r="G38" s="10">
        <v>96.4</v>
      </c>
      <c r="H38" s="10">
        <v>104.2</v>
      </c>
      <c r="I38" s="10">
        <v>68</v>
      </c>
      <c r="J38" s="10">
        <v>0.05</v>
      </c>
      <c r="K38" s="10">
        <v>98.8</v>
      </c>
      <c r="L38" s="10">
        <v>8.7899999999999991</v>
      </c>
      <c r="M38" s="12">
        <v>7.68</v>
      </c>
      <c r="N38" s="10">
        <v>21.08</v>
      </c>
      <c r="O38" s="10">
        <v>7.05</v>
      </c>
      <c r="P38" s="10">
        <v>-10.16</v>
      </c>
      <c r="Q38" s="10">
        <v>0.03</v>
      </c>
      <c r="R38" s="10">
        <v>-4.58</v>
      </c>
      <c r="S38" s="10">
        <v>0.02</v>
      </c>
      <c r="T38" s="10">
        <v>-25.95</v>
      </c>
      <c r="U38" s="10">
        <v>0.04</v>
      </c>
      <c r="V38" s="10" t="s">
        <v>48</v>
      </c>
      <c r="W38" s="10">
        <v>1.5760000000000001</v>
      </c>
      <c r="X38" s="10">
        <v>0.13</v>
      </c>
      <c r="Y38" s="10" t="s">
        <v>48</v>
      </c>
      <c r="Z38" s="10">
        <v>4.9279999999999999</v>
      </c>
      <c r="AA38" s="10">
        <v>13.7</v>
      </c>
      <c r="AB38" s="10">
        <v>7.0000000000000001E-3</v>
      </c>
      <c r="AC38" s="10">
        <v>3.46</v>
      </c>
      <c r="AD38" s="10">
        <v>0.90600000000000003</v>
      </c>
      <c r="AE38" s="8">
        <v>3.2800000000000003E-2</v>
      </c>
      <c r="AF38" s="10">
        <v>1.724</v>
      </c>
      <c r="AG38" s="10">
        <v>2.99</v>
      </c>
      <c r="AH38" s="10">
        <v>135.74079618605501</v>
      </c>
      <c r="AI38" s="10">
        <v>3.9829287859472999</v>
      </c>
      <c r="AJ38" s="10">
        <v>8.6390848775726101E-2</v>
      </c>
      <c r="AK38" s="10">
        <v>0.12481395182234201</v>
      </c>
      <c r="AL38" s="10">
        <v>0.99671753350382197</v>
      </c>
      <c r="AM38" s="10">
        <v>0.45200603505662601</v>
      </c>
      <c r="AN38" s="10">
        <v>-0.39891447994266799</v>
      </c>
      <c r="AO38" s="10">
        <v>0.47288386205722199</v>
      </c>
      <c r="AP38" s="10">
        <v>5.0339626309563103E-2</v>
      </c>
      <c r="AQ38" s="10">
        <v>18.902642449409701</v>
      </c>
      <c r="AR38" s="10">
        <v>0.100772320924919</v>
      </c>
      <c r="AS38" s="10">
        <v>-1.22692093925923E-2</v>
      </c>
      <c r="AT38" s="10">
        <v>6.3649184250362699E-3</v>
      </c>
      <c r="AU38" s="10">
        <v>4.3150000000000004</v>
      </c>
      <c r="AV38" s="10">
        <v>16.25</v>
      </c>
      <c r="AW38" s="10">
        <v>11.94</v>
      </c>
      <c r="AX38" s="1">
        <v>6.3112241630000003</v>
      </c>
      <c r="AY38" s="1">
        <v>-3.0347583469999999</v>
      </c>
      <c r="AZ38" s="1">
        <v>3.276465816</v>
      </c>
      <c r="BA38" s="1">
        <v>0.62119862999999997</v>
      </c>
    </row>
    <row r="39" spans="1:53" hidden="1" x14ac:dyDescent="0.35">
      <c r="A39" s="2" t="s">
        <v>58</v>
      </c>
      <c r="B39" s="1" t="s">
        <v>55</v>
      </c>
      <c r="C39" s="4">
        <v>0.58333333333333337</v>
      </c>
      <c r="D39" s="5">
        <v>45767</v>
      </c>
      <c r="E39" s="13">
        <f t="shared" si="0"/>
        <v>45767.583333333336</v>
      </c>
      <c r="F39" s="11">
        <v>0.104</v>
      </c>
      <c r="G39" s="10">
        <v>99.6</v>
      </c>
      <c r="H39" s="10">
        <v>106.1</v>
      </c>
      <c r="I39" s="10">
        <v>69</v>
      </c>
      <c r="J39" s="10">
        <v>0.05</v>
      </c>
      <c r="K39" s="10">
        <v>104.6</v>
      </c>
      <c r="L39" s="10">
        <v>9.18</v>
      </c>
      <c r="M39" s="10">
        <v>8.69</v>
      </c>
      <c r="N39" s="10">
        <v>21.780999999999999</v>
      </c>
      <c r="O39" s="10">
        <v>2.56</v>
      </c>
      <c r="P39" s="10">
        <v>-9.74</v>
      </c>
      <c r="Q39" s="10">
        <v>0.03</v>
      </c>
      <c r="R39" s="10">
        <v>-4.6399999999999997</v>
      </c>
      <c r="S39" s="10">
        <v>0.03</v>
      </c>
      <c r="T39" s="10">
        <v>-26.2</v>
      </c>
      <c r="U39" s="10">
        <v>7.0000000000000007E-2</v>
      </c>
      <c r="V39" s="10" t="s">
        <v>48</v>
      </c>
      <c r="W39" s="10">
        <v>1.522</v>
      </c>
      <c r="X39" s="10" t="s">
        <v>48</v>
      </c>
      <c r="Y39" s="10" t="s">
        <v>48</v>
      </c>
      <c r="Z39" s="10">
        <v>4.8630000000000004</v>
      </c>
      <c r="AA39" s="10">
        <v>13.5</v>
      </c>
      <c r="AB39" s="10">
        <v>1.9E-2</v>
      </c>
      <c r="AC39" s="10">
        <v>3.45</v>
      </c>
      <c r="AD39" s="10">
        <v>0.89200000000000002</v>
      </c>
      <c r="AE39" s="8">
        <v>3.0200000000000001E-2</v>
      </c>
      <c r="AF39" s="10">
        <v>1.706</v>
      </c>
      <c r="AG39" s="10">
        <v>2.95</v>
      </c>
      <c r="AH39" s="10">
        <v>130.00655101534301</v>
      </c>
      <c r="AI39" s="10">
        <v>2.73418766945225</v>
      </c>
      <c r="AJ39" s="10">
        <v>0.85315620912828705</v>
      </c>
      <c r="AK39" s="10">
        <v>0.191520615488178</v>
      </c>
      <c r="AL39" s="10">
        <v>0.97349633967822102</v>
      </c>
      <c r="AM39" s="10">
        <v>0.45252594448578598</v>
      </c>
      <c r="AN39" s="10">
        <v>-9.0520860129663497E-2</v>
      </c>
      <c r="AO39" s="10">
        <v>0.487617181070779</v>
      </c>
      <c r="AP39" s="10">
        <v>4.3118956492431401E-2</v>
      </c>
      <c r="AQ39" s="10">
        <v>19.3072762217049</v>
      </c>
      <c r="AR39" s="10">
        <v>8.6582083752106798E-2</v>
      </c>
      <c r="AS39" s="10">
        <v>-2.07657097670433E-4</v>
      </c>
      <c r="AT39" s="10">
        <v>1.01567015936798E-2</v>
      </c>
      <c r="AU39" s="10">
        <v>4.0330000000000004</v>
      </c>
      <c r="AV39" s="10">
        <v>15.98</v>
      </c>
      <c r="AW39" s="10">
        <v>11.95</v>
      </c>
      <c r="AX39" s="1">
        <v>10.41312887</v>
      </c>
      <c r="AY39" s="1">
        <v>-3.287625018</v>
      </c>
      <c r="AZ39" s="1">
        <v>7.1255038480000001</v>
      </c>
      <c r="BA39" s="1">
        <v>1.538399061</v>
      </c>
    </row>
    <row r="40" spans="1:53" hidden="1" x14ac:dyDescent="0.35">
      <c r="A40" s="2" t="s">
        <v>58</v>
      </c>
      <c r="B40" s="1" t="s">
        <v>56</v>
      </c>
      <c r="C40" s="4">
        <v>0.75</v>
      </c>
      <c r="D40" s="5">
        <v>45767</v>
      </c>
      <c r="E40" s="13">
        <f t="shared" si="0"/>
        <v>45767.75</v>
      </c>
      <c r="F40" s="11">
        <v>9.5000000000000001E-2</v>
      </c>
      <c r="G40" s="10">
        <v>98.8</v>
      </c>
      <c r="H40" s="10">
        <v>104.3</v>
      </c>
      <c r="I40" s="10">
        <v>68</v>
      </c>
      <c r="J40" s="10">
        <v>0.05</v>
      </c>
      <c r="K40" s="10">
        <v>114.3</v>
      </c>
      <c r="L40" s="10">
        <v>9.9499999999999993</v>
      </c>
      <c r="M40" s="10">
        <v>8.3000000000000007</v>
      </c>
      <c r="N40" s="10">
        <v>22.221</v>
      </c>
      <c r="O40" s="10">
        <v>2.86</v>
      </c>
      <c r="P40" s="10">
        <v>-9.5399999999999991</v>
      </c>
      <c r="Q40" s="10">
        <v>7.0000000000000007E-2</v>
      </c>
      <c r="R40" s="10">
        <v>-4.63</v>
      </c>
      <c r="S40" s="10">
        <v>0.02</v>
      </c>
      <c r="T40" s="10">
        <v>-26.15</v>
      </c>
      <c r="U40" s="10">
        <v>0.05</v>
      </c>
      <c r="V40" s="10" t="s">
        <v>48</v>
      </c>
      <c r="W40" s="10">
        <v>1.5169999999999999</v>
      </c>
      <c r="X40" s="10" t="s">
        <v>48</v>
      </c>
      <c r="Y40" s="10" t="s">
        <v>48</v>
      </c>
      <c r="Z40" s="10">
        <v>4.8280000000000003</v>
      </c>
      <c r="AA40" s="10">
        <v>13.4</v>
      </c>
      <c r="AB40" s="10">
        <v>5.6000000000000001E-2</v>
      </c>
      <c r="AC40" s="10">
        <v>3.35</v>
      </c>
      <c r="AD40" s="10">
        <v>0.94</v>
      </c>
      <c r="AE40" s="8">
        <v>3.2099999999999997E-2</v>
      </c>
      <c r="AF40" s="10">
        <v>1.7729999999999999</v>
      </c>
      <c r="AG40" s="10">
        <v>2.95</v>
      </c>
      <c r="AH40" s="10">
        <v>128.67750536403901</v>
      </c>
      <c r="AI40" s="10">
        <v>0.53426090216182098</v>
      </c>
      <c r="AJ40" s="10">
        <v>0.21130303439280099</v>
      </c>
      <c r="AK40" s="10">
        <v>0.204127885194687</v>
      </c>
      <c r="AL40" s="10">
        <v>2.7485960540507302</v>
      </c>
      <c r="AM40" s="10">
        <v>0.55638844790048003</v>
      </c>
      <c r="AN40" s="10">
        <v>7.73348549556334E-2</v>
      </c>
      <c r="AO40" s="10">
        <v>1.05880139972545</v>
      </c>
      <c r="AP40" s="10">
        <v>5.03652936370469E-2</v>
      </c>
      <c r="AQ40" s="10">
        <v>19.557170345012899</v>
      </c>
      <c r="AR40" s="10">
        <v>8.0684800585514999E-2</v>
      </c>
      <c r="AS40" s="10">
        <v>0.110917933161174</v>
      </c>
      <c r="AT40" s="10">
        <v>8.0071132902549205E-3</v>
      </c>
      <c r="AU40" s="10">
        <v>4.1109999999999998</v>
      </c>
      <c r="AV40" s="10">
        <v>16.170000000000002</v>
      </c>
      <c r="AW40" s="10">
        <v>12.06</v>
      </c>
      <c r="AX40" s="1">
        <v>5.4544689540000002</v>
      </c>
      <c r="AY40" s="1">
        <v>-3.2828860130000002</v>
      </c>
      <c r="AZ40" s="1">
        <v>2.171582941</v>
      </c>
      <c r="BA40" s="1">
        <v>1.375980502</v>
      </c>
    </row>
    <row r="41" spans="1:53" x14ac:dyDescent="0.35">
      <c r="A41" s="2" t="s">
        <v>66</v>
      </c>
      <c r="B41" s="3" t="s">
        <v>43</v>
      </c>
      <c r="C41" s="4">
        <v>0.75</v>
      </c>
      <c r="D41" s="5">
        <v>45856</v>
      </c>
      <c r="E41" s="13">
        <f t="shared" si="0"/>
        <v>45856.75</v>
      </c>
      <c r="F41" s="3">
        <v>0.123</v>
      </c>
      <c r="G41" s="3">
        <v>177.3</v>
      </c>
      <c r="H41" s="3">
        <v>155.6</v>
      </c>
      <c r="I41" s="3">
        <v>101</v>
      </c>
      <c r="J41" s="3">
        <v>7.0000000000000007E-2</v>
      </c>
      <c r="K41" s="3">
        <v>131.1</v>
      </c>
      <c r="L41" s="3">
        <v>9.5299999999999994</v>
      </c>
      <c r="M41">
        <v>9.01</v>
      </c>
      <c r="N41" s="3">
        <v>32.284999999999997</v>
      </c>
      <c r="O41" s="3">
        <v>1.68</v>
      </c>
      <c r="P41" s="3">
        <v>-7.27</v>
      </c>
      <c r="Q41" s="3">
        <v>0.05</v>
      </c>
      <c r="R41" s="3">
        <v>-3.41</v>
      </c>
      <c r="S41" s="3">
        <v>0.03</v>
      </c>
      <c r="T41" s="3">
        <v>-19.98</v>
      </c>
      <c r="U41" s="3">
        <v>0.31</v>
      </c>
      <c r="V41" s="3">
        <v>-2.1999999999999999E-2</v>
      </c>
      <c r="W41" s="3">
        <v>2.2120000000000002</v>
      </c>
      <c r="X41" s="3">
        <v>0.125</v>
      </c>
      <c r="Y41" s="3">
        <v>0.159</v>
      </c>
      <c r="Z41" s="3">
        <v>3.3479999999999999</v>
      </c>
      <c r="AA41" s="3">
        <v>21</v>
      </c>
      <c r="AB41" s="3">
        <v>0.79600000000000004</v>
      </c>
      <c r="AC41" s="3">
        <v>4.66</v>
      </c>
      <c r="AD41" s="3">
        <v>1.486</v>
      </c>
      <c r="AE41" s="3">
        <v>2.3099999999999999E-2</v>
      </c>
      <c r="AF41" s="3">
        <v>1.34</v>
      </c>
      <c r="AG41" s="3">
        <v>3.13</v>
      </c>
      <c r="AH41" s="3">
        <v>153.70691656393501</v>
      </c>
      <c r="AI41" s="3">
        <v>0.35615914583128899</v>
      </c>
      <c r="AJ41" s="3">
        <v>9.2566158992283896</v>
      </c>
      <c r="AK41" s="3">
        <v>0.50137654819234401</v>
      </c>
      <c r="AL41" s="3">
        <v>7.0208003643726302</v>
      </c>
      <c r="AM41" s="3">
        <v>0.85714932056203996</v>
      </c>
      <c r="AN41" s="3">
        <v>0.34538511389766102</v>
      </c>
      <c r="AO41" s="3">
        <v>0.606128147114668</v>
      </c>
      <c r="AP41" s="3">
        <v>9.9404129412377796E-3</v>
      </c>
      <c r="AQ41" s="3">
        <v>26.8370215298076</v>
      </c>
      <c r="AR41" s="3">
        <v>0.67276460244646297</v>
      </c>
      <c r="AS41" s="3">
        <v>6.2600004511012497E-2</v>
      </c>
      <c r="AT41" s="3">
        <v>-1.28340988934545E-3</v>
      </c>
      <c r="AU41" s="3">
        <v>0.4491</v>
      </c>
      <c r="AV41" s="3">
        <v>17.829999999999998</v>
      </c>
      <c r="AW41" s="3">
        <v>18.28</v>
      </c>
      <c r="AX41" s="1">
        <v>11.89008325</v>
      </c>
      <c r="AY41" s="1">
        <v>-11.490540790000001</v>
      </c>
      <c r="AZ41" s="1">
        <v>0.39954246799999998</v>
      </c>
      <c r="BA41" s="1">
        <v>0.75856084000000001</v>
      </c>
    </row>
    <row r="42" spans="1:53" x14ac:dyDescent="0.35">
      <c r="A42" s="2" t="s">
        <v>66</v>
      </c>
      <c r="B42" s="3" t="s">
        <v>44</v>
      </c>
      <c r="C42" s="4">
        <v>0.91666666666666663</v>
      </c>
      <c r="D42" s="5">
        <v>45856</v>
      </c>
      <c r="E42" s="13">
        <f t="shared" si="0"/>
        <v>45856.916666666664</v>
      </c>
      <c r="F42" s="3">
        <v>0.13700000000000001</v>
      </c>
      <c r="G42" s="3">
        <v>176.3</v>
      </c>
      <c r="H42" s="3">
        <v>158.4</v>
      </c>
      <c r="I42" s="3">
        <v>103</v>
      </c>
      <c r="J42" s="3">
        <v>7.0000000000000007E-2</v>
      </c>
      <c r="K42" s="3">
        <v>101.5</v>
      </c>
      <c r="L42" s="3">
        <v>7.55</v>
      </c>
      <c r="M42">
        <v>8.3699999999999992</v>
      </c>
      <c r="N42" s="3">
        <v>30.911000000000001</v>
      </c>
      <c r="O42" s="3">
        <v>4.58</v>
      </c>
      <c r="P42" s="3">
        <v>-7.97</v>
      </c>
      <c r="Q42" s="3">
        <v>0.05</v>
      </c>
      <c r="R42" s="3">
        <v>-3.66</v>
      </c>
      <c r="S42" s="3">
        <v>0.01</v>
      </c>
      <c r="T42" s="3">
        <v>-20.420000000000002</v>
      </c>
      <c r="U42" s="3">
        <v>0.12</v>
      </c>
      <c r="V42" s="3">
        <v>-2.4E-2</v>
      </c>
      <c r="W42" s="3">
        <v>2.1829999999999998</v>
      </c>
      <c r="X42" s="3">
        <v>0.127</v>
      </c>
      <c r="Y42" s="3" t="s">
        <v>48</v>
      </c>
      <c r="Z42" s="3">
        <v>3.18</v>
      </c>
      <c r="AA42" s="3">
        <v>28.5</v>
      </c>
      <c r="AB42" s="3">
        <v>0.54800000000000004</v>
      </c>
      <c r="AC42" s="3">
        <v>5.17</v>
      </c>
      <c r="AD42" s="3">
        <v>0.92300000000000004</v>
      </c>
      <c r="AE42" s="3">
        <v>6.08E-2</v>
      </c>
      <c r="AF42" s="3">
        <v>1.498</v>
      </c>
      <c r="AG42" s="3">
        <v>2.27</v>
      </c>
      <c r="AH42" s="3">
        <v>166.40402352167601</v>
      </c>
      <c r="AI42" s="3">
        <v>0.57058993485392395</v>
      </c>
      <c r="AJ42" s="3">
        <v>4.8774202542467897</v>
      </c>
      <c r="AK42" s="3">
        <v>0.57615040064277601</v>
      </c>
      <c r="AL42" s="3">
        <v>3.9341377186689601</v>
      </c>
      <c r="AM42" s="3">
        <v>0.74411216872680797</v>
      </c>
      <c r="AN42" s="3">
        <v>0.72235140126359598</v>
      </c>
      <c r="AO42" s="3">
        <v>0.58270213644961699</v>
      </c>
      <c r="AP42" s="3">
        <v>7.6569938154917097E-2</v>
      </c>
      <c r="AQ42" s="3">
        <v>29.338411663510801</v>
      </c>
      <c r="AR42" s="3">
        <v>0.38237520646142997</v>
      </c>
      <c r="AS42" s="3">
        <v>4.5698305249828E-2</v>
      </c>
      <c r="AT42" s="3">
        <v>-1.0871958458849101E-3</v>
      </c>
      <c r="AU42" s="3">
        <v>0.4541</v>
      </c>
      <c r="AV42" s="3">
        <v>19.809999999999999</v>
      </c>
      <c r="AW42" s="3">
        <v>19.350000000000001</v>
      </c>
      <c r="AX42" s="1">
        <v>0</v>
      </c>
      <c r="AY42" s="1">
        <v>-11.338362180000001</v>
      </c>
      <c r="AZ42" s="1">
        <v>-11.338362180000001</v>
      </c>
      <c r="BA42" s="1">
        <v>0.83680058700000004</v>
      </c>
    </row>
    <row r="43" spans="1:53" x14ac:dyDescent="0.35">
      <c r="A43" s="2" t="s">
        <v>66</v>
      </c>
      <c r="B43" s="3" t="s">
        <v>45</v>
      </c>
      <c r="C43" s="4">
        <v>8.3333333333333329E-2</v>
      </c>
      <c r="D43" s="5">
        <v>45857</v>
      </c>
      <c r="E43" s="13">
        <f t="shared" si="0"/>
        <v>45857.083333333336</v>
      </c>
      <c r="F43" s="3">
        <v>0.13500000000000001</v>
      </c>
      <c r="G43" s="3">
        <v>171.7</v>
      </c>
      <c r="H43" s="3">
        <v>155.6</v>
      </c>
      <c r="I43" s="3">
        <v>101</v>
      </c>
      <c r="J43" s="3">
        <v>7.0000000000000007E-2</v>
      </c>
      <c r="K43" s="3">
        <v>88.8</v>
      </c>
      <c r="L43" s="3">
        <v>6.67</v>
      </c>
      <c r="M43">
        <v>7.97</v>
      </c>
      <c r="N43" s="3">
        <v>30.413</v>
      </c>
      <c r="O43" s="3">
        <v>1.1599999999999999</v>
      </c>
      <c r="P43" s="3">
        <v>-8.16</v>
      </c>
      <c r="Q43" s="3">
        <v>0.03</v>
      </c>
      <c r="R43" s="3">
        <v>-3.53</v>
      </c>
      <c r="S43" s="3">
        <v>0.03</v>
      </c>
      <c r="T43" s="3">
        <v>-19.399999999999999</v>
      </c>
      <c r="U43" s="3">
        <v>0.05</v>
      </c>
      <c r="V43" s="3">
        <v>-2.5999999999999999E-2</v>
      </c>
      <c r="W43" s="3">
        <v>2.0590000000000002</v>
      </c>
      <c r="X43" s="3">
        <v>0.126</v>
      </c>
      <c r="Y43" s="3" t="s">
        <v>48</v>
      </c>
      <c r="Z43" s="3">
        <v>2.9750000000000001</v>
      </c>
      <c r="AA43" s="3">
        <v>28.8</v>
      </c>
      <c r="AB43" s="3">
        <v>0.66300000000000003</v>
      </c>
      <c r="AC43" s="3">
        <v>5.5</v>
      </c>
      <c r="AD43" s="3">
        <v>1.1060000000000001</v>
      </c>
      <c r="AE43" s="3">
        <v>2.5100000000000001E-2</v>
      </c>
      <c r="AF43" s="3">
        <v>1.2749999999999999</v>
      </c>
      <c r="AG43" s="3">
        <v>1.86</v>
      </c>
      <c r="AH43" s="3">
        <v>173.486772288688</v>
      </c>
      <c r="AI43" s="3">
        <v>0.82878969344135101</v>
      </c>
      <c r="AJ43" s="3">
        <v>3.1859575514056</v>
      </c>
      <c r="AK43" s="3">
        <v>0.62732965133431495</v>
      </c>
      <c r="AL43" s="3">
        <v>4.45248754246093</v>
      </c>
      <c r="AM43" s="3">
        <v>0.72797648862504205</v>
      </c>
      <c r="AN43" s="3">
        <v>0.63297147222078398</v>
      </c>
      <c r="AO43" s="3">
        <v>0.63322414624550705</v>
      </c>
      <c r="AP43" s="3">
        <v>2.14335266866977E-2</v>
      </c>
      <c r="AQ43" s="3">
        <v>30.307111377594001</v>
      </c>
      <c r="AR43" s="3">
        <v>0.29374206266440001</v>
      </c>
      <c r="AS43" s="3">
        <v>4.2489845985735901E-2</v>
      </c>
      <c r="AT43" s="3">
        <v>-2.3333047886311001E-3</v>
      </c>
      <c r="AU43" s="3">
        <v>1.3380000000000001</v>
      </c>
      <c r="AV43" s="3">
        <v>20.64</v>
      </c>
      <c r="AW43" s="3">
        <v>19.3</v>
      </c>
      <c r="AX43" s="1">
        <v>0</v>
      </c>
      <c r="AY43" s="1">
        <v>-10.954325069999999</v>
      </c>
      <c r="AZ43" s="1">
        <v>-10.954325069999999</v>
      </c>
      <c r="BA43" s="1">
        <v>0.77532781799999995</v>
      </c>
    </row>
    <row r="44" spans="1:53" x14ac:dyDescent="0.35">
      <c r="A44" s="2" t="s">
        <v>66</v>
      </c>
      <c r="B44" s="3" t="s">
        <v>46</v>
      </c>
      <c r="C44" s="4">
        <v>0.25</v>
      </c>
      <c r="D44" s="5">
        <v>45857</v>
      </c>
      <c r="E44" s="13">
        <f t="shared" si="0"/>
        <v>45857.25</v>
      </c>
      <c r="F44" s="3">
        <v>0.153</v>
      </c>
      <c r="G44" s="3">
        <v>174.5</v>
      </c>
      <c r="H44" s="3">
        <v>160</v>
      </c>
      <c r="I44" s="3">
        <v>104</v>
      </c>
      <c r="J44" s="3">
        <v>7.0000000000000007E-2</v>
      </c>
      <c r="K44" s="3">
        <v>75.2</v>
      </c>
      <c r="L44" s="3">
        <v>5.7</v>
      </c>
      <c r="M44">
        <v>7.76</v>
      </c>
      <c r="N44" s="3">
        <v>29.759</v>
      </c>
      <c r="O44" s="3">
        <v>1.38</v>
      </c>
      <c r="P44" s="3">
        <v>-7.72</v>
      </c>
      <c r="Q44" s="3">
        <v>0.03</v>
      </c>
      <c r="R44" s="3">
        <v>-3.61</v>
      </c>
      <c r="S44" s="3">
        <v>0.02</v>
      </c>
      <c r="T44" s="3">
        <v>-19.760000000000002</v>
      </c>
      <c r="U44" s="3">
        <v>0.08</v>
      </c>
      <c r="V44" s="3">
        <v>-3.1E-2</v>
      </c>
      <c r="W44" s="3">
        <v>2.0939999999999999</v>
      </c>
      <c r="X44" s="3">
        <v>0.126</v>
      </c>
      <c r="Y44" s="3" t="s">
        <v>48</v>
      </c>
      <c r="Z44" s="3">
        <v>2.996</v>
      </c>
      <c r="AA44" s="3">
        <v>29.1</v>
      </c>
      <c r="AB44" s="3">
        <v>0.52700000000000002</v>
      </c>
      <c r="AC44" s="3">
        <v>5.65</v>
      </c>
      <c r="AD44" s="3">
        <v>1.04</v>
      </c>
      <c r="AE44" s="3">
        <v>2.4199999999999999E-2</v>
      </c>
      <c r="AF44" s="3">
        <v>1.1379999999999999</v>
      </c>
      <c r="AG44" s="3">
        <v>2.34</v>
      </c>
      <c r="AH44" s="3">
        <v>233.58816187748101</v>
      </c>
      <c r="AI44" s="3">
        <v>1.0239626856542501</v>
      </c>
      <c r="AJ44" s="3">
        <v>2.9952403231312101</v>
      </c>
      <c r="AK44" s="3">
        <v>0.70415430384724798</v>
      </c>
      <c r="AL44" s="3">
        <v>3.5478802504359499</v>
      </c>
      <c r="AM44" s="3">
        <v>0.74716314318816102</v>
      </c>
      <c r="AN44" s="3">
        <v>1.035546115969</v>
      </c>
      <c r="AO44" s="3">
        <v>0.584185054973971</v>
      </c>
      <c r="AP44" s="3">
        <v>1.2035679148312399E-2</v>
      </c>
      <c r="AQ44" s="3">
        <v>33.048324492196102</v>
      </c>
      <c r="AR44" s="3">
        <v>0.21451465910040601</v>
      </c>
      <c r="AS44" s="3">
        <v>2.9924944659856699E-2</v>
      </c>
      <c r="AT44" s="3">
        <v>-1.5806849247652799E-3</v>
      </c>
      <c r="AU44" s="3">
        <v>2.202</v>
      </c>
      <c r="AV44" s="3">
        <v>20.96</v>
      </c>
      <c r="AW44" s="3">
        <v>18.760000000000002</v>
      </c>
      <c r="AX44" s="1">
        <v>0</v>
      </c>
      <c r="AY44" s="1">
        <v>-10.891467069999999</v>
      </c>
      <c r="AZ44" s="1">
        <v>-10.891467069999999</v>
      </c>
      <c r="BA44" s="1">
        <v>0.79946700900000001</v>
      </c>
    </row>
    <row r="45" spans="1:53" x14ac:dyDescent="0.35">
      <c r="A45" s="2" t="s">
        <v>66</v>
      </c>
      <c r="B45" s="3" t="s">
        <v>47</v>
      </c>
      <c r="C45" s="4">
        <v>0.41666666666666669</v>
      </c>
      <c r="D45" s="5">
        <v>45857</v>
      </c>
      <c r="E45" s="13">
        <f t="shared" si="0"/>
        <v>45857.416666666664</v>
      </c>
      <c r="F45" s="3">
        <v>0.16500000000000001</v>
      </c>
      <c r="G45" s="3">
        <v>176.4</v>
      </c>
      <c r="H45" s="3">
        <v>160.69999999999999</v>
      </c>
      <c r="I45" s="3">
        <v>104</v>
      </c>
      <c r="J45" s="3">
        <v>7.0000000000000007E-2</v>
      </c>
      <c r="K45" s="3">
        <v>94</v>
      </c>
      <c r="L45" s="3">
        <v>7.09</v>
      </c>
      <c r="M45">
        <v>8.17</v>
      </c>
      <c r="N45" s="3">
        <v>30.126999999999999</v>
      </c>
      <c r="O45" s="3">
        <v>2.2999999999999998</v>
      </c>
      <c r="P45" s="3">
        <v>-7.53</v>
      </c>
      <c r="Q45" s="3">
        <v>0.04</v>
      </c>
      <c r="R45" s="3">
        <v>-3.63</v>
      </c>
      <c r="S45" s="3">
        <v>0.01</v>
      </c>
      <c r="T45" s="3">
        <v>-19.98</v>
      </c>
      <c r="U45" s="3">
        <v>0.05</v>
      </c>
      <c r="V45" s="3">
        <v>-2.5000000000000001E-2</v>
      </c>
      <c r="W45" s="3">
        <v>2.101</v>
      </c>
      <c r="X45" s="3">
        <v>0.125</v>
      </c>
      <c r="Y45" s="3" t="s">
        <v>48</v>
      </c>
      <c r="Z45" s="3">
        <v>3.0369999999999999</v>
      </c>
      <c r="AA45" s="3">
        <v>24.6</v>
      </c>
      <c r="AB45" s="3">
        <v>0.61499999999999999</v>
      </c>
      <c r="AC45" s="3">
        <v>4.08</v>
      </c>
      <c r="AD45" s="3">
        <v>1.24</v>
      </c>
      <c r="AE45" s="3">
        <v>2.1899999999999999E-2</v>
      </c>
      <c r="AF45" s="3">
        <v>1.448</v>
      </c>
      <c r="AG45" s="3">
        <v>3.09</v>
      </c>
      <c r="AH45" s="3">
        <v>170.23837855578401</v>
      </c>
      <c r="AI45" s="3">
        <v>0.44195574063983201</v>
      </c>
      <c r="AJ45" s="3">
        <v>3.0930648395203701</v>
      </c>
      <c r="AK45" s="3">
        <v>0.61699361812747899</v>
      </c>
      <c r="AL45" s="3">
        <v>3.0047233269575502</v>
      </c>
      <c r="AM45" s="3">
        <v>0.715149037261534</v>
      </c>
      <c r="AN45" s="3">
        <v>0.55924485095127296</v>
      </c>
      <c r="AO45" s="3">
        <v>0.58080878702446503</v>
      </c>
      <c r="AP45" s="3">
        <v>1.42520161106006E-3</v>
      </c>
      <c r="AQ45" s="3">
        <v>30.622486144801901</v>
      </c>
      <c r="AR45" s="3">
        <v>0.16471903972351301</v>
      </c>
      <c r="AS45" s="3">
        <v>2.9551943927297999E-2</v>
      </c>
      <c r="AT45" s="3">
        <v>-1.7377541795799501E-3</v>
      </c>
      <c r="AU45" s="3">
        <v>1.8680000000000001</v>
      </c>
      <c r="AV45" s="3">
        <v>21.27</v>
      </c>
      <c r="AW45" s="3">
        <v>19.399999999999999</v>
      </c>
      <c r="AX45" s="1">
        <v>18.430664849999999</v>
      </c>
      <c r="AY45" s="1">
        <v>-11.36551759</v>
      </c>
      <c r="AZ45" s="1">
        <v>7.0651472599999998</v>
      </c>
      <c r="BA45" s="1">
        <v>0.875303532</v>
      </c>
    </row>
    <row r="46" spans="1:53" x14ac:dyDescent="0.35">
      <c r="A46" s="2" t="s">
        <v>66</v>
      </c>
      <c r="B46" s="3" t="s">
        <v>49</v>
      </c>
      <c r="C46" s="7">
        <v>0.58333333333333337</v>
      </c>
      <c r="D46" s="5">
        <v>45857</v>
      </c>
      <c r="E46" s="13">
        <f t="shared" si="0"/>
        <v>45857.583333333336</v>
      </c>
      <c r="F46" s="6">
        <v>0.13400000000000001</v>
      </c>
      <c r="G46" s="6">
        <v>178.1</v>
      </c>
      <c r="H46" s="6">
        <v>156.30000000000001</v>
      </c>
      <c r="I46" s="6">
        <v>102</v>
      </c>
      <c r="J46" s="6">
        <v>7.0000000000000007E-2</v>
      </c>
      <c r="K46" s="6">
        <v>131.30000000000001</v>
      </c>
      <c r="L46" s="6">
        <v>9.5399999999999991</v>
      </c>
      <c r="M46">
        <v>8.81</v>
      </c>
      <c r="N46" s="6">
        <v>32.298000000000002</v>
      </c>
      <c r="O46" s="6">
        <v>1.67</v>
      </c>
      <c r="P46" s="3">
        <v>-6.75</v>
      </c>
      <c r="Q46" s="3">
        <v>0.04</v>
      </c>
      <c r="R46" s="3">
        <v>-3.56</v>
      </c>
      <c r="S46" s="3">
        <v>0.03</v>
      </c>
      <c r="T46" s="3">
        <v>-19.649999999999999</v>
      </c>
      <c r="U46" s="3">
        <v>0.03</v>
      </c>
      <c r="V46" s="3">
        <v>-2.4E-2</v>
      </c>
      <c r="W46" s="3">
        <v>2.1160000000000001</v>
      </c>
      <c r="X46" s="3">
        <v>0.125</v>
      </c>
      <c r="Y46" s="3" t="s">
        <v>48</v>
      </c>
      <c r="Z46" s="3">
        <v>3.1280000000000001</v>
      </c>
      <c r="AA46" s="3">
        <v>23.6</v>
      </c>
      <c r="AB46" s="3">
        <v>0.71699999999999997</v>
      </c>
      <c r="AC46" s="3">
        <v>4.1900000000000004</v>
      </c>
      <c r="AD46" s="3">
        <v>1.385</v>
      </c>
      <c r="AE46" s="3">
        <v>2.5100000000000001E-2</v>
      </c>
      <c r="AF46" s="3">
        <v>1.482</v>
      </c>
      <c r="AG46" s="3">
        <v>3.07</v>
      </c>
      <c r="AH46" s="3">
        <v>159.28288924936899</v>
      </c>
      <c r="AI46" s="3">
        <v>0.36617538594620203</v>
      </c>
      <c r="AJ46" s="3">
        <v>5.6572231376697202</v>
      </c>
      <c r="AK46" s="3">
        <v>0.50557587090362799</v>
      </c>
      <c r="AL46" s="3">
        <v>3.9731566503303699</v>
      </c>
      <c r="AM46" s="3">
        <v>0.79055149843219297</v>
      </c>
      <c r="AN46" s="3">
        <v>0.67750618527498396</v>
      </c>
      <c r="AO46" s="3">
        <v>0.56295557345090597</v>
      </c>
      <c r="AP46" s="3">
        <v>6.3620100769398299E-3</v>
      </c>
      <c r="AQ46" s="3">
        <v>27.9877823821774</v>
      </c>
      <c r="AR46" s="3">
        <v>0.142290596627976</v>
      </c>
      <c r="AS46" s="3">
        <v>3.3282195595365202E-2</v>
      </c>
      <c r="AT46" s="3">
        <v>-3.0380558408066201E-3</v>
      </c>
      <c r="AU46" s="3">
        <v>1.278</v>
      </c>
      <c r="AV46" s="3">
        <v>20.13</v>
      </c>
      <c r="AW46" s="3">
        <v>18.850000000000001</v>
      </c>
      <c r="AX46" s="1">
        <v>29.547166099999998</v>
      </c>
      <c r="AY46" s="1">
        <v>-11.893301989999999</v>
      </c>
      <c r="AZ46" s="1">
        <v>17.653864110000001</v>
      </c>
      <c r="BA46" s="1">
        <v>0.89809751199999999</v>
      </c>
    </row>
    <row r="47" spans="1:53" x14ac:dyDescent="0.35">
      <c r="A47" s="2" t="s">
        <v>66</v>
      </c>
      <c r="B47" s="3" t="s">
        <v>50</v>
      </c>
      <c r="C47" s="4">
        <v>0.75</v>
      </c>
      <c r="D47" s="5">
        <v>45857</v>
      </c>
      <c r="E47" s="13">
        <f t="shared" si="0"/>
        <v>45857.75</v>
      </c>
      <c r="F47" s="3">
        <v>0.125</v>
      </c>
      <c r="G47" s="3">
        <v>169</v>
      </c>
      <c r="H47" s="3">
        <v>150.6</v>
      </c>
      <c r="I47" s="3">
        <v>98</v>
      </c>
      <c r="J47" s="3">
        <v>7.0000000000000007E-2</v>
      </c>
      <c r="K47" s="3">
        <v>122.5</v>
      </c>
      <c r="L47" s="3">
        <v>9.0399999999999991</v>
      </c>
      <c r="M47">
        <v>8.66</v>
      </c>
      <c r="N47" s="3">
        <v>31.411000000000001</v>
      </c>
      <c r="O47" s="3">
        <v>1.42</v>
      </c>
      <c r="P47" s="3">
        <v>-7.27</v>
      </c>
      <c r="Q47" s="3">
        <v>0.03</v>
      </c>
      <c r="R47" s="3">
        <v>-4.01</v>
      </c>
      <c r="S47" s="3">
        <v>0.03</v>
      </c>
      <c r="T47" s="3">
        <v>-21.74</v>
      </c>
      <c r="U47" s="3">
        <v>0.06</v>
      </c>
      <c r="V47" s="3">
        <v>-2.5999999999999999E-2</v>
      </c>
      <c r="W47" s="3">
        <v>2.1179999999999999</v>
      </c>
      <c r="X47" s="3">
        <v>0.129</v>
      </c>
      <c r="Y47" s="3" t="s">
        <v>48</v>
      </c>
      <c r="Z47" s="3">
        <v>3.4860000000000002</v>
      </c>
      <c r="AA47" s="3">
        <v>22.1</v>
      </c>
      <c r="AB47" s="3">
        <v>0.58699999999999997</v>
      </c>
      <c r="AC47" s="3">
        <v>4.67</v>
      </c>
      <c r="AD47" s="3">
        <v>0.96699999999999997</v>
      </c>
      <c r="AE47" s="3">
        <v>1.67E-2</v>
      </c>
      <c r="AF47" s="3">
        <v>1.464</v>
      </c>
      <c r="AG47" s="3">
        <v>2.76</v>
      </c>
      <c r="AH47" s="3">
        <v>158.43797515216599</v>
      </c>
      <c r="AI47" s="3">
        <v>0.40964147604467799</v>
      </c>
      <c r="AJ47" s="3">
        <v>7.1756016772490696</v>
      </c>
      <c r="AK47" s="3">
        <v>0.64950341825188795</v>
      </c>
      <c r="AL47" s="3">
        <v>3.2774954440795798</v>
      </c>
      <c r="AM47" s="3">
        <v>0.82896156129987297</v>
      </c>
      <c r="AN47" s="3">
        <v>1.1128006187516799</v>
      </c>
      <c r="AO47" s="3">
        <v>0.57716015043906699</v>
      </c>
      <c r="AP47" s="3">
        <v>3.6678378789126299E-3</v>
      </c>
      <c r="AQ47" s="3">
        <v>27.992532930368299</v>
      </c>
      <c r="AR47" s="3">
        <v>0.11951404029423</v>
      </c>
      <c r="AS47" s="3">
        <v>4.5084001704236903E-2</v>
      </c>
      <c r="AT47" s="3">
        <v>-2.6911777797408E-3</v>
      </c>
      <c r="AU47" s="3">
        <v>2.073</v>
      </c>
      <c r="AV47" s="3">
        <v>21.41</v>
      </c>
      <c r="AW47" s="3">
        <v>19.34</v>
      </c>
      <c r="AX47" s="1">
        <v>17.494340489999999</v>
      </c>
      <c r="AY47" s="1">
        <v>-11.7622334</v>
      </c>
      <c r="AZ47" s="1">
        <v>5.7321070909999996</v>
      </c>
      <c r="BA47" s="1">
        <v>0.96232600199999996</v>
      </c>
    </row>
    <row r="48" spans="1:53" x14ac:dyDescent="0.35">
      <c r="A48" s="2" t="s">
        <v>66</v>
      </c>
      <c r="B48" s="3" t="s">
        <v>51</v>
      </c>
      <c r="C48" s="7">
        <v>0.91666666666666663</v>
      </c>
      <c r="D48" s="5">
        <v>45857</v>
      </c>
      <c r="E48" s="13">
        <f t="shared" si="0"/>
        <v>45857.916666666664</v>
      </c>
      <c r="F48" s="6">
        <v>0.13300000000000001</v>
      </c>
      <c r="G48" s="6">
        <v>175.7</v>
      </c>
      <c r="H48" s="6">
        <v>158.30000000000001</v>
      </c>
      <c r="I48" s="6">
        <v>103</v>
      </c>
      <c r="J48" s="6">
        <v>7.0000000000000007E-2</v>
      </c>
      <c r="K48" s="6">
        <v>97.8</v>
      </c>
      <c r="L48" s="6">
        <v>7.3</v>
      </c>
      <c r="M48">
        <v>8.02</v>
      </c>
      <c r="N48" s="6">
        <v>30.736000000000001</v>
      </c>
      <c r="O48" s="6">
        <v>1.39</v>
      </c>
      <c r="P48" s="3">
        <v>-7.69</v>
      </c>
      <c r="Q48" s="3">
        <v>0.03</v>
      </c>
      <c r="R48" s="3">
        <v>-3.58</v>
      </c>
      <c r="S48" s="3">
        <v>0.02</v>
      </c>
      <c r="T48" s="3">
        <v>-19.71</v>
      </c>
      <c r="U48" s="3">
        <v>0.04</v>
      </c>
      <c r="V48" s="3">
        <v>-2.9000000000000001E-2</v>
      </c>
      <c r="W48" s="3">
        <v>2.101</v>
      </c>
      <c r="X48" s="3">
        <v>0.125</v>
      </c>
      <c r="Y48" s="3" t="s">
        <v>48</v>
      </c>
      <c r="Z48" s="3">
        <v>3.0249999999999999</v>
      </c>
      <c r="AA48" s="3">
        <v>26.4</v>
      </c>
      <c r="AB48" s="3">
        <v>0.33300000000000002</v>
      </c>
      <c r="AC48" s="3">
        <v>4.88</v>
      </c>
      <c r="AD48" s="3">
        <v>0.48799999999999999</v>
      </c>
      <c r="AE48" s="3">
        <v>2.2499999999999999E-2</v>
      </c>
      <c r="AF48" s="3">
        <v>0.94</v>
      </c>
      <c r="AG48" s="3">
        <v>1.65</v>
      </c>
      <c r="AH48" s="3">
        <v>198.95835580341799</v>
      </c>
      <c r="AI48" s="3">
        <v>0.53742265486631502</v>
      </c>
      <c r="AJ48" s="3">
        <v>3.9124471455245202</v>
      </c>
      <c r="AK48" s="3">
        <v>0.69351061233043698</v>
      </c>
      <c r="AL48" s="3">
        <v>3.3081122427895799</v>
      </c>
      <c r="AM48" s="3">
        <v>0.77614341610927096</v>
      </c>
      <c r="AN48" s="3">
        <v>0.88287628117411998</v>
      </c>
      <c r="AO48" s="3">
        <v>0.55867549734270905</v>
      </c>
      <c r="AP48" s="3">
        <v>6.12545583387174E-3</v>
      </c>
      <c r="AQ48" s="3">
        <v>29.308346863630099</v>
      </c>
      <c r="AR48" s="3">
        <v>0.10523842585840699</v>
      </c>
      <c r="AS48" s="3">
        <v>5.6144428461189097E-2</v>
      </c>
      <c r="AT48" s="3">
        <v>-3.5143633427679802E-3</v>
      </c>
      <c r="AU48" s="3">
        <v>1.5409999999999999</v>
      </c>
      <c r="AV48" s="3">
        <v>20.82</v>
      </c>
      <c r="AW48" s="3">
        <v>19.28</v>
      </c>
      <c r="AX48" s="1">
        <v>0</v>
      </c>
      <c r="AY48" s="1">
        <v>-11.334873350000001</v>
      </c>
      <c r="AZ48" s="1">
        <v>-11.334873350000001</v>
      </c>
      <c r="BA48" s="1">
        <v>0.94042153799999995</v>
      </c>
    </row>
    <row r="49" spans="1:53" x14ac:dyDescent="0.35">
      <c r="A49" s="2" t="s">
        <v>66</v>
      </c>
      <c r="B49" s="3" t="s">
        <v>52</v>
      </c>
      <c r="C49" s="4">
        <v>8.3333333333333329E-2</v>
      </c>
      <c r="D49" s="5">
        <v>45858</v>
      </c>
      <c r="E49" s="13">
        <f t="shared" si="0"/>
        <v>45858.083333333336</v>
      </c>
      <c r="F49" s="3">
        <v>0.127</v>
      </c>
      <c r="G49" s="3">
        <v>173.4</v>
      </c>
      <c r="H49" s="3">
        <v>158</v>
      </c>
      <c r="I49" s="3">
        <v>103</v>
      </c>
      <c r="J49" s="3">
        <v>7.0000000000000007E-2</v>
      </c>
      <c r="K49" s="3">
        <v>87.8</v>
      </c>
      <c r="L49" s="3">
        <v>6.62</v>
      </c>
      <c r="M49">
        <v>7.95</v>
      </c>
      <c r="N49" s="3">
        <v>30.105</v>
      </c>
      <c r="O49" s="6">
        <v>0.98</v>
      </c>
      <c r="P49" s="3">
        <v>-7.78</v>
      </c>
      <c r="Q49" s="3">
        <v>0.03</v>
      </c>
      <c r="R49" s="3">
        <v>-3.66</v>
      </c>
      <c r="S49" s="3">
        <v>0.01</v>
      </c>
      <c r="T49" s="3">
        <v>-20.16</v>
      </c>
      <c r="U49" s="3">
        <v>0.05</v>
      </c>
      <c r="V49" s="3">
        <v>-2.4E-2</v>
      </c>
      <c r="W49" s="3">
        <v>2.0680000000000001</v>
      </c>
      <c r="X49" s="3">
        <v>0.125</v>
      </c>
      <c r="Y49" s="3" t="s">
        <v>48</v>
      </c>
      <c r="Z49" s="3">
        <v>2.9790000000000001</v>
      </c>
      <c r="AA49" s="3">
        <v>27.5</v>
      </c>
      <c r="AB49" s="3">
        <v>0.43</v>
      </c>
      <c r="AC49" s="3">
        <v>5.54</v>
      </c>
      <c r="AD49" s="3">
        <v>0.72199999999999998</v>
      </c>
      <c r="AE49" s="3">
        <v>2.7E-2</v>
      </c>
      <c r="AF49" s="3">
        <v>1.1220000000000001</v>
      </c>
      <c r="AG49" s="3">
        <v>2.09</v>
      </c>
      <c r="AH49" s="3">
        <v>201.64578690970299</v>
      </c>
      <c r="AI49" s="3">
        <v>1.1378859820167599</v>
      </c>
      <c r="AJ49" s="3">
        <v>3.70016245576321</v>
      </c>
      <c r="AK49" s="3">
        <v>0.61380406028324896</v>
      </c>
      <c r="AL49" s="3">
        <v>2.8658666676934499</v>
      </c>
      <c r="AM49" s="3">
        <v>0.74322372618548904</v>
      </c>
      <c r="AN49" s="3">
        <v>0.82867041981108203</v>
      </c>
      <c r="AO49" s="3">
        <v>0.56699344541959895</v>
      </c>
      <c r="AP49" s="3">
        <v>1.50373206478426E-4</v>
      </c>
      <c r="AQ49" s="3">
        <v>29.272562603123198</v>
      </c>
      <c r="AR49" s="3">
        <v>9.3759474494909206E-2</v>
      </c>
      <c r="AS49" s="3">
        <v>3.4137533727257703E-2</v>
      </c>
      <c r="AT49" s="3">
        <v>-2.3801985781031899E-3</v>
      </c>
      <c r="AU49" s="3">
        <v>2.4089999999999998</v>
      </c>
      <c r="AV49" s="3">
        <v>21.66</v>
      </c>
      <c r="AW49" s="3">
        <v>19.25</v>
      </c>
      <c r="AX49" s="1">
        <v>0</v>
      </c>
      <c r="AY49" s="1">
        <v>-11.040832699999999</v>
      </c>
      <c r="AZ49" s="1">
        <v>-11.040832699999999</v>
      </c>
      <c r="BA49" s="1">
        <v>0.819996422</v>
      </c>
    </row>
    <row r="50" spans="1:53" x14ac:dyDescent="0.35">
      <c r="A50" s="2" t="s">
        <v>66</v>
      </c>
      <c r="B50" s="3" t="s">
        <v>53</v>
      </c>
      <c r="C50" s="4">
        <v>0.25</v>
      </c>
      <c r="D50" s="5">
        <v>45858</v>
      </c>
      <c r="E50" s="13">
        <f t="shared" si="0"/>
        <v>45858.25</v>
      </c>
      <c r="F50" s="3">
        <v>0.13</v>
      </c>
      <c r="G50" s="3">
        <v>172.7</v>
      </c>
      <c r="H50" s="3">
        <v>159.1</v>
      </c>
      <c r="I50" s="3">
        <v>103</v>
      </c>
      <c r="J50" s="3">
        <v>7.0000000000000007E-2</v>
      </c>
      <c r="K50" s="3">
        <v>76.8</v>
      </c>
      <c r="L50" s="3">
        <v>5.86</v>
      </c>
      <c r="M50">
        <v>7.79</v>
      </c>
      <c r="N50" s="3">
        <v>29.478999999999999</v>
      </c>
      <c r="O50" s="3">
        <v>1.25</v>
      </c>
      <c r="P50" s="3">
        <v>-7.94</v>
      </c>
      <c r="Q50" s="3">
        <v>0.06</v>
      </c>
      <c r="R50" s="3">
        <v>-3.6</v>
      </c>
      <c r="S50" s="3">
        <v>0.02</v>
      </c>
      <c r="T50" s="3">
        <v>-19.7</v>
      </c>
      <c r="U50" s="3">
        <v>0.08</v>
      </c>
      <c r="V50" s="3">
        <v>-2.7E-2</v>
      </c>
      <c r="W50" s="3">
        <v>2.0659999999999998</v>
      </c>
      <c r="X50" s="3">
        <v>0.125</v>
      </c>
      <c r="Y50" s="3" t="s">
        <v>48</v>
      </c>
      <c r="Z50" s="3">
        <v>2.95</v>
      </c>
      <c r="AA50" s="3">
        <v>28.6</v>
      </c>
      <c r="AB50" s="3">
        <v>0.51400000000000001</v>
      </c>
      <c r="AC50" s="3">
        <v>5.77</v>
      </c>
      <c r="AD50" s="3">
        <v>0.877</v>
      </c>
      <c r="AE50" s="3">
        <v>2.98E-2</v>
      </c>
      <c r="AF50" s="3">
        <v>1.109</v>
      </c>
      <c r="AG50" s="3">
        <v>2.2799999999999998</v>
      </c>
      <c r="AH50" s="3">
        <v>220.78694898822599</v>
      </c>
      <c r="AI50" s="3">
        <v>1.63614626672247</v>
      </c>
      <c r="AJ50" s="3">
        <v>3.0350031414577501</v>
      </c>
      <c r="AK50" s="3">
        <v>0.64383135875661102</v>
      </c>
      <c r="AL50" s="3">
        <v>2.6468156840285002</v>
      </c>
      <c r="AM50" s="3">
        <v>0.77923695783973401</v>
      </c>
      <c r="AN50" s="3">
        <v>1.1981982953543899</v>
      </c>
      <c r="AO50" s="3">
        <v>0.55381968051254504</v>
      </c>
      <c r="AP50" s="3">
        <v>6.2041537587417296E-4</v>
      </c>
      <c r="AQ50" s="3">
        <v>31.0895176923636</v>
      </c>
      <c r="AR50" s="3">
        <v>8.4469654758981202E-2</v>
      </c>
      <c r="AS50" s="3">
        <v>2.6869210008538098E-2</v>
      </c>
      <c r="AT50" s="3">
        <v>-2.32609699709657E-3</v>
      </c>
      <c r="AU50" s="3">
        <v>2.87</v>
      </c>
      <c r="AV50" s="3">
        <v>22.35</v>
      </c>
      <c r="AW50" s="3">
        <v>19.48</v>
      </c>
      <c r="AX50" s="1">
        <v>0</v>
      </c>
      <c r="AY50" s="1">
        <v>-10.782882989999999</v>
      </c>
      <c r="AZ50" s="1">
        <v>-10.782882989999999</v>
      </c>
      <c r="BA50" s="1">
        <v>0.75531055000000002</v>
      </c>
    </row>
    <row r="51" spans="1:53" x14ac:dyDescent="0.35">
      <c r="A51" s="2" t="s">
        <v>66</v>
      </c>
      <c r="B51" s="3" t="s">
        <v>54</v>
      </c>
      <c r="C51" s="4">
        <v>0.41666666666666669</v>
      </c>
      <c r="D51" s="5">
        <v>45858</v>
      </c>
      <c r="E51" s="13">
        <f t="shared" si="0"/>
        <v>45858.416666666664</v>
      </c>
      <c r="F51" s="3">
        <v>0.13100000000000001</v>
      </c>
      <c r="G51" s="3">
        <v>175.5</v>
      </c>
      <c r="H51" s="3">
        <v>158.80000000000001</v>
      </c>
      <c r="I51" s="3">
        <v>103</v>
      </c>
      <c r="J51" s="3">
        <v>7.0000000000000007E-2</v>
      </c>
      <c r="K51" s="3">
        <v>95.6</v>
      </c>
      <c r="L51" s="3">
        <v>7.16</v>
      </c>
      <c r="M51">
        <v>8.15</v>
      </c>
      <c r="N51" s="3">
        <v>30.477</v>
      </c>
      <c r="O51" s="3">
        <v>1.42</v>
      </c>
      <c r="P51" s="3">
        <v>-7.38</v>
      </c>
      <c r="Q51" s="3">
        <v>0.06</v>
      </c>
      <c r="R51" s="3">
        <v>-3.58</v>
      </c>
      <c r="S51" s="3">
        <v>0.01</v>
      </c>
      <c r="T51" s="3">
        <v>-19.71</v>
      </c>
      <c r="U51" s="3">
        <v>7.0000000000000007E-2</v>
      </c>
      <c r="V51" s="3">
        <v>-2.5000000000000001E-2</v>
      </c>
      <c r="W51" s="3">
        <v>2.0760000000000001</v>
      </c>
      <c r="X51" s="3">
        <v>0.125</v>
      </c>
      <c r="Y51" s="3" t="s">
        <v>48</v>
      </c>
      <c r="Z51" s="3">
        <v>2.976</v>
      </c>
      <c r="AA51" s="3">
        <v>25.2</v>
      </c>
      <c r="AB51" s="3">
        <v>0.65400000000000003</v>
      </c>
      <c r="AC51" s="3">
        <v>3.66</v>
      </c>
      <c r="AD51" s="3">
        <v>1.39</v>
      </c>
      <c r="AE51" s="3">
        <v>2.06E-2</v>
      </c>
      <c r="AF51" s="3">
        <v>1.2669999999999999</v>
      </c>
      <c r="AG51" s="3">
        <v>2.97</v>
      </c>
      <c r="AH51" s="3">
        <v>193.842471336443</v>
      </c>
      <c r="AI51" s="3">
        <v>0.53087075866959899</v>
      </c>
      <c r="AJ51" s="3">
        <v>3.2893096014509999</v>
      </c>
      <c r="AK51" s="3">
        <v>0.57223175367446799</v>
      </c>
      <c r="AL51" s="3">
        <v>3.2896686218744802</v>
      </c>
      <c r="AM51" s="3">
        <v>0.77391968551025403</v>
      </c>
      <c r="AN51" s="3">
        <v>0.87534720337711103</v>
      </c>
      <c r="AO51" s="3">
        <v>0.54948982079537201</v>
      </c>
      <c r="AP51" s="3">
        <v>2.8783387541406599E-3</v>
      </c>
      <c r="AQ51" s="3">
        <v>27.920858381527601</v>
      </c>
      <c r="AR51" s="3">
        <v>0.53625669564933798</v>
      </c>
      <c r="AS51" s="3">
        <v>3.2682786202339803E-2</v>
      </c>
      <c r="AT51" s="3">
        <v>-2.2713667884571502E-3</v>
      </c>
      <c r="AU51" s="3">
        <v>7.8090000000000007E-2</v>
      </c>
      <c r="AV51" s="3">
        <v>19.25</v>
      </c>
      <c r="AW51" s="3">
        <v>19.18</v>
      </c>
      <c r="AX51" s="1">
        <v>18.385729659999999</v>
      </c>
      <c r="AY51" s="1">
        <v>-11.291075190000001</v>
      </c>
      <c r="AZ51" s="1">
        <v>7.0946544659999997</v>
      </c>
      <c r="BA51" s="1">
        <v>1.029636035</v>
      </c>
    </row>
    <row r="52" spans="1:53" x14ac:dyDescent="0.35">
      <c r="A52" s="2" t="s">
        <v>66</v>
      </c>
      <c r="B52" s="3" t="s">
        <v>55</v>
      </c>
      <c r="C52" s="4">
        <v>0.58333333333333337</v>
      </c>
      <c r="D52" s="5">
        <v>45858</v>
      </c>
      <c r="E52" s="13">
        <f t="shared" si="0"/>
        <v>45858.583333333336</v>
      </c>
      <c r="F52" s="3">
        <v>0.104</v>
      </c>
      <c r="G52" s="3">
        <v>174</v>
      </c>
      <c r="H52" s="3">
        <v>150.4</v>
      </c>
      <c r="I52" s="3">
        <v>98</v>
      </c>
      <c r="J52" s="3">
        <v>7.0000000000000007E-2</v>
      </c>
      <c r="K52" s="3">
        <v>139</v>
      </c>
      <c r="L52" s="3">
        <v>9.9499999999999993</v>
      </c>
      <c r="M52">
        <v>9.0500000000000007</v>
      </c>
      <c r="N52" s="3">
        <v>33.22</v>
      </c>
      <c r="O52" s="3">
        <v>1.74</v>
      </c>
      <c r="P52" s="3">
        <v>-6.72</v>
      </c>
      <c r="Q52" s="3">
        <v>0.03</v>
      </c>
      <c r="R52" s="3">
        <v>-3.47</v>
      </c>
      <c r="S52" s="3">
        <v>0.02</v>
      </c>
      <c r="T52" s="3">
        <v>-19.170000000000002</v>
      </c>
      <c r="U52" s="3">
        <v>0.09</v>
      </c>
      <c r="V52" s="3">
        <v>-0.03</v>
      </c>
      <c r="W52" s="3">
        <v>2.0750000000000002</v>
      </c>
      <c r="X52" s="3">
        <v>0.125</v>
      </c>
      <c r="Y52" s="3" t="s">
        <v>48</v>
      </c>
      <c r="Z52" s="3">
        <v>2.8839999999999999</v>
      </c>
      <c r="AA52" s="3">
        <v>23.4</v>
      </c>
      <c r="AB52" s="3">
        <v>0.76800000000000002</v>
      </c>
      <c r="AC52" s="3">
        <v>3.38</v>
      </c>
      <c r="AD52" s="3">
        <v>1.4390000000000001</v>
      </c>
      <c r="AE52" s="3">
        <v>2.9700000000000001E-2</v>
      </c>
      <c r="AF52" s="3">
        <v>1.339</v>
      </c>
      <c r="AG52" s="3">
        <v>3.11</v>
      </c>
      <c r="AH52" s="3">
        <v>185.58436734691099</v>
      </c>
      <c r="AI52" s="3">
        <v>0.46577785069657501</v>
      </c>
      <c r="AJ52" s="3">
        <v>5.5270200691996898</v>
      </c>
      <c r="AK52" s="3">
        <v>0.59003186550249498</v>
      </c>
      <c r="AL52" s="3">
        <v>2.8999509606914402</v>
      </c>
      <c r="AM52" s="3">
        <v>0.88099205466001695</v>
      </c>
      <c r="AN52" s="3">
        <v>1.02803146763467</v>
      </c>
      <c r="AO52" s="3">
        <v>0.549749507449664</v>
      </c>
      <c r="AP52" s="3">
        <v>5.5243121172602796E-3</v>
      </c>
      <c r="AQ52" s="3">
        <v>25.171955148378601</v>
      </c>
      <c r="AR52" s="3">
        <v>0.33311463629435201</v>
      </c>
      <c r="AS52" s="3">
        <v>3.43048951384263E-2</v>
      </c>
      <c r="AT52" s="3">
        <v>-2.7837663629668601E-3</v>
      </c>
      <c r="AU52" s="3">
        <v>1.7030000000000001</v>
      </c>
      <c r="AV52" s="3">
        <v>18.02</v>
      </c>
      <c r="AW52" s="3">
        <v>16.32</v>
      </c>
      <c r="AX52" s="1">
        <v>29.521079579999999</v>
      </c>
      <c r="AY52" s="1">
        <v>-11.853829380000001</v>
      </c>
      <c r="AZ52" s="1">
        <v>17.667250200000002</v>
      </c>
      <c r="BA52" s="1">
        <v>1.04058542</v>
      </c>
    </row>
    <row r="53" spans="1:53" x14ac:dyDescent="0.35">
      <c r="A53" s="2" t="s">
        <v>66</v>
      </c>
      <c r="B53" s="3" t="s">
        <v>56</v>
      </c>
      <c r="C53" s="4">
        <v>0.75</v>
      </c>
      <c r="D53" s="5">
        <v>45858</v>
      </c>
      <c r="E53" s="13">
        <f t="shared" si="0"/>
        <v>45858.75</v>
      </c>
      <c r="F53" s="3">
        <v>9.5000000000000001E-2</v>
      </c>
      <c r="G53" s="3">
        <v>167</v>
      </c>
      <c r="H53" s="3">
        <v>146.4</v>
      </c>
      <c r="I53" s="3">
        <v>95</v>
      </c>
      <c r="J53" s="3">
        <v>7.0000000000000007E-2</v>
      </c>
      <c r="K53" s="3">
        <v>124.8</v>
      </c>
      <c r="L53" s="3">
        <v>9.06</v>
      </c>
      <c r="M53">
        <v>8.75</v>
      </c>
      <c r="N53" s="3">
        <v>32.380000000000003</v>
      </c>
      <c r="O53" s="3">
        <v>1.07</v>
      </c>
      <c r="P53" s="3">
        <v>-7.01</v>
      </c>
      <c r="Q53" s="3">
        <v>0.05</v>
      </c>
      <c r="R53" s="3">
        <v>-3.39</v>
      </c>
      <c r="S53" s="3">
        <v>0.02</v>
      </c>
      <c r="T53" s="3">
        <v>-18.87</v>
      </c>
      <c r="U53" s="3">
        <v>7.0000000000000007E-2</v>
      </c>
      <c r="V53" s="3">
        <v>-2.9000000000000001E-2</v>
      </c>
      <c r="W53" s="3">
        <v>2.081</v>
      </c>
      <c r="X53" s="3">
        <v>0.124</v>
      </c>
      <c r="Y53" s="3" t="s">
        <v>48</v>
      </c>
      <c r="Z53" s="3">
        <v>3.0110000000000001</v>
      </c>
      <c r="AA53" s="3">
        <v>22.1</v>
      </c>
      <c r="AB53" s="3">
        <v>0.61099999999999999</v>
      </c>
      <c r="AC53" s="3">
        <v>2.52</v>
      </c>
      <c r="AD53" s="3">
        <v>1.1870000000000001</v>
      </c>
      <c r="AE53" s="3">
        <v>2.24E-2</v>
      </c>
      <c r="AF53" s="3">
        <v>1.3759999999999999</v>
      </c>
      <c r="AG53" s="3">
        <v>2.72</v>
      </c>
      <c r="AH53" s="3">
        <v>178.28374389465</v>
      </c>
      <c r="AI53" s="3">
        <v>0.42769174138442501</v>
      </c>
      <c r="AJ53" s="3">
        <v>6.2506198090832799</v>
      </c>
      <c r="AK53" s="3">
        <v>0.56006829864345498</v>
      </c>
      <c r="AL53" s="3">
        <v>3.7405474767190401</v>
      </c>
      <c r="AM53" s="3">
        <v>0.90623029500502505</v>
      </c>
      <c r="AN53" s="3">
        <v>1.3108197088554601</v>
      </c>
      <c r="AO53" s="3">
        <v>0.52928054895015098</v>
      </c>
      <c r="AP53" s="3">
        <v>-1.1554208405893101E-3</v>
      </c>
      <c r="AQ53" s="3">
        <v>25.795007896699701</v>
      </c>
      <c r="AR53" s="3">
        <v>0.22584037737725801</v>
      </c>
      <c r="AS53" s="3">
        <v>3.62128356487861E-2</v>
      </c>
      <c r="AT53" s="3">
        <v>-2.5931455117917199E-3</v>
      </c>
      <c r="AU53" s="3">
        <v>2.1120000000000001</v>
      </c>
      <c r="AV53" s="3">
        <v>19.059999999999999</v>
      </c>
      <c r="AW53" s="3">
        <v>16.940000000000001</v>
      </c>
      <c r="AX53" s="1">
        <v>17.458197290000001</v>
      </c>
      <c r="AY53" s="1">
        <v>-11.84499864</v>
      </c>
      <c r="AZ53" s="1">
        <v>5.6131986520000003</v>
      </c>
      <c r="BA53" s="1">
        <v>1.0045932710000001</v>
      </c>
    </row>
  </sheetData>
  <autoFilter ref="A1:BA53" xr:uid="{00000000-0001-0000-0000-000000000000}">
    <filterColumn colId="0">
      <filters>
        <filter val="Summe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A1A61D5C25247AF7591AF89188D51" ma:contentTypeVersion="14" ma:contentTypeDescription="Create a new document." ma:contentTypeScope="" ma:versionID="0c25bac5a635cc32e5348440c6b6e0ef">
  <xsd:schema xmlns:xsd="http://www.w3.org/2001/XMLSchema" xmlns:xs="http://www.w3.org/2001/XMLSchema" xmlns:p="http://schemas.microsoft.com/office/2006/metadata/properties" xmlns:ns2="874b11e3-e508-4950-aad9-537155d8bb98" xmlns:ns3="3a06a71b-81ea-4c14-89d9-a8d7775fbcc6" targetNamespace="http://schemas.microsoft.com/office/2006/metadata/properties" ma:root="true" ma:fieldsID="bd7023612adbcadf07fe264efbd3efb0" ns2:_="" ns3:_="">
    <xsd:import namespace="874b11e3-e508-4950-aad9-537155d8bb98"/>
    <xsd:import namespace="3a06a71b-81ea-4c14-89d9-a8d7775fb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b11e3-e508-4950-aad9-537155d8b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6a71b-81ea-4c14-89d9-a8d7775fbc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5470ec-52fe-49f8-8ade-27cead32f030}" ma:internalName="TaxCatchAll" ma:showField="CatchAllData" ma:web="3a06a71b-81ea-4c14-89d9-a8d7775fb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b11e3-e508-4950-aad9-537155d8bb98">
      <Terms xmlns="http://schemas.microsoft.com/office/infopath/2007/PartnerControls"/>
    </lcf76f155ced4ddcb4097134ff3c332f>
    <TaxCatchAll xmlns="3a06a71b-81ea-4c14-89d9-a8d7775fbcc6" xsi:nil="true"/>
  </documentManagement>
</p:properties>
</file>

<file path=customXml/itemProps1.xml><?xml version="1.0" encoding="utf-8"?>
<ds:datastoreItem xmlns:ds="http://schemas.openxmlformats.org/officeDocument/2006/customXml" ds:itemID="{29AE1C31-4973-4812-9D42-83803AFA0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b11e3-e508-4950-aad9-537155d8bb98"/>
    <ds:schemaRef ds:uri="3a06a71b-81ea-4c14-89d9-a8d7775fbc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7D30B2-29F4-4B21-88A9-ABE96F75F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60ED1-C55A-4BCB-AB99-5FB87AC8D74A}">
  <ds:schemaRefs>
    <ds:schemaRef ds:uri="http://schemas.microsoft.com/office/2006/metadata/properties"/>
    <ds:schemaRef ds:uri="http://schemas.microsoft.com/office/infopath/2007/PartnerControls"/>
    <ds:schemaRef ds:uri="874b11e3-e508-4950-aad9-537155d8bb98"/>
    <ds:schemaRef ds:uri="3a06a71b-81ea-4c14-89d9-a8d7775fbcc6"/>
  </ds:schemaRefs>
</ds:datastoreItem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Tajwar, Mahir</dc:creator>
  <cp:lastModifiedBy>Ayers, John C</cp:lastModifiedBy>
  <dcterms:created xsi:type="dcterms:W3CDTF">2015-06-05T18:17:20Z</dcterms:created>
  <dcterms:modified xsi:type="dcterms:W3CDTF">2026-05-12T16:58:46Z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0x010100DF7A1A61D5C25247AF7591AF89188D51</vt:lpwstr>
  </property>
  <property fmtid="{D5CDD505-2E9C-101B-9397-08002B2CF9AE}" pid="3" name="MediaServiceImageTags">
    <vt:lpwstr/>
  </property>
</Properties>
</file>