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rsj\Python\DielLakeCarbon\output\summer\output_v10\"/>
    </mc:Choice>
  </mc:AlternateContent>
  <xr:revisionPtr revIDLastSave="0" documentId="8_{C5F2219B-F073-4B8A-B934-DFE1FD0E283C}" xr6:coauthVersionLast="47" xr6:coauthVersionMax="47" xr10:uidLastSave="{00000000-0000-0000-0000-000000000000}"/>
  <bookViews>
    <workbookView xWindow="28680" yWindow="-120" windowWidth="29040" windowHeight="15720" xr2:uid="{D79D70A2-E122-4DD4-9C82-CDFA1EA88CA5}"/>
  </bookViews>
  <sheets>
    <sheet name="diel_v10_results" sheetId="1" r:id="rId1"/>
  </sheets>
  <calcPr calcId="0"/>
</workbook>
</file>

<file path=xl/calcChain.xml><?xml version="1.0" encoding="utf-8"?>
<calcChain xmlns="http://schemas.openxmlformats.org/spreadsheetml/2006/main">
  <c r="X51" i="1" l="1"/>
  <c r="X52" i="1"/>
  <c r="X53" i="1"/>
  <c r="W52" i="1"/>
  <c r="W51" i="1"/>
  <c r="W53" i="1" l="1"/>
</calcChain>
</file>

<file path=xl/sharedStrings.xml><?xml version="1.0" encoding="utf-8"?>
<sst xmlns="http://schemas.openxmlformats.org/spreadsheetml/2006/main" count="31" uniqueCount="31">
  <si>
    <t>DateTime</t>
  </si>
  <si>
    <t>Temperature_C</t>
  </si>
  <si>
    <t>pH_measured</t>
  </si>
  <si>
    <t>pH_modeled</t>
  </si>
  <si>
    <t>pCO2_uatm</t>
  </si>
  <si>
    <t>Ca_measured_mgL</t>
  </si>
  <si>
    <t>Na_measured_mgL</t>
  </si>
  <si>
    <t>Cl_measured_mgL</t>
  </si>
  <si>
    <t>SI_Calcite</t>
  </si>
  <si>
    <t>PAR_Wm2</t>
  </si>
  <si>
    <t>GPP_observed_mgO2Lh</t>
  </si>
  <si>
    <t>GPP_modeled_mgO2Lh</t>
  </si>
  <si>
    <t>ER_observed_mgO2Lh</t>
  </si>
  <si>
    <t>ER_modeled_mgO2Lh</t>
  </si>
  <si>
    <t>NEP_mgO2Lh</t>
  </si>
  <si>
    <t>KO2_m_d</t>
  </si>
  <si>
    <t>k600_m_d</t>
  </si>
  <si>
    <t>CO2flux_mmol_m2_d</t>
  </si>
  <si>
    <t>CO2aq_mgL</t>
  </si>
  <si>
    <t>HCO3_mgL</t>
  </si>
  <si>
    <t>CO3_mgL</t>
  </si>
  <si>
    <t>DIC_mgL</t>
  </si>
  <si>
    <t>d13C_DIC_measured</t>
  </si>
  <si>
    <t>d13C_DIC_modeled</t>
  </si>
  <si>
    <t>d13C_residual</t>
  </si>
  <si>
    <t>d13C_CO2aq_eq</t>
  </si>
  <si>
    <t>d13C_HCO3_eq</t>
  </si>
  <si>
    <t>Daylight_flag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</si>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</sst>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6669-B51E-44BC-A169-922BEE0B1A80}">
  <dimension ref="A1:AB53"/>
  <sheetViews>
    <sheetView tabSelected="1" topLeftCell="A25" workbookViewId="0">
      <selection activeCell="W51" sqref="W51:X53"/>
    </sheetView>
  </sheetViews>
  <sheetFormatPr defaultRowHeight="14.5" x14ac:dyDescent="0.35"/>
  <cols>
    <col min="23" max="23" width="18.26953125" bestFit="1" customWidth="1"/>
    <col min="24" max="24" width="17.1796875" bestFit="1" customWidth="1"/>
    <col min="25" max="25" width="12.9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45856.75</v>
      </c>
      <c r="B2">
        <v>32.29</v>
      </c>
      <c r="C2">
        <v>9.01</v>
      </c>
      <c r="D2">
        <v>9.01</v>
      </c>
      <c r="E2">
        <v>93.144018000000003</v>
      </c>
      <c r="F2">
        <v>21</v>
      </c>
      <c r="G2">
        <v>1.486</v>
      </c>
      <c r="H2">
        <v>2.2120000000000002</v>
      </c>
      <c r="I2">
        <v>0.956179</v>
      </c>
      <c r="J2">
        <v>102.03198</v>
      </c>
      <c r="K2">
        <v>11.890083000000001</v>
      </c>
      <c r="L2">
        <v>14.329065999999999</v>
      </c>
      <c r="M2">
        <v>-11.490541</v>
      </c>
      <c r="N2">
        <v>-5.8999459999999999</v>
      </c>
      <c r="O2">
        <v>8.4291199999999993</v>
      </c>
      <c r="P2">
        <v>0.75856100000000004</v>
      </c>
      <c r="Q2">
        <v>0.51749000000000001</v>
      </c>
      <c r="R2">
        <v>-6.5395940000000001</v>
      </c>
      <c r="S2">
        <v>0.115783</v>
      </c>
      <c r="T2">
        <v>83.039879999999997</v>
      </c>
      <c r="U2">
        <v>5.2413439999999998</v>
      </c>
      <c r="V2">
        <v>18.28</v>
      </c>
      <c r="W2">
        <v>-7.27</v>
      </c>
      <c r="X2">
        <v>-7.27</v>
      </c>
      <c r="Y2">
        <v>0</v>
      </c>
      <c r="Z2">
        <v>-15.422872999999999</v>
      </c>
      <c r="AA2">
        <v>-7.3082549999999999</v>
      </c>
      <c r="AB2">
        <v>1</v>
      </c>
    </row>
    <row r="3" spans="1:28" x14ac:dyDescent="0.35">
      <c r="A3" s="1">
        <v>45856.791666666664</v>
      </c>
      <c r="B3">
        <v>31.945</v>
      </c>
      <c r="C3">
        <v>8.85</v>
      </c>
      <c r="D3">
        <v>8.85</v>
      </c>
      <c r="E3">
        <v>139.176638</v>
      </c>
      <c r="F3">
        <v>22.875</v>
      </c>
      <c r="G3">
        <v>1.3452500000000001</v>
      </c>
      <c r="H3">
        <v>2.2047500000000002</v>
      </c>
      <c r="I3">
        <v>0.85562400000000005</v>
      </c>
      <c r="J3">
        <v>22.042356999999999</v>
      </c>
      <c r="K3">
        <v>8.9175620000000002</v>
      </c>
      <c r="L3">
        <v>8.7652979999999996</v>
      </c>
      <c r="M3">
        <v>-11.452496</v>
      </c>
      <c r="N3">
        <v>-5.6503810000000003</v>
      </c>
      <c r="O3">
        <v>3.1149170000000002</v>
      </c>
      <c r="P3">
        <v>0.77812099999999995</v>
      </c>
      <c r="Q3">
        <v>0.535273</v>
      </c>
      <c r="R3">
        <v>-5.8243929999999997</v>
      </c>
      <c r="S3">
        <v>0.174452</v>
      </c>
      <c r="T3">
        <v>86.332385000000002</v>
      </c>
      <c r="U3">
        <v>3.7515079999999998</v>
      </c>
      <c r="V3">
        <v>18.547499999999999</v>
      </c>
      <c r="W3">
        <v>-7.4450000000000003</v>
      </c>
      <c r="X3">
        <v>-6.8968749999999996</v>
      </c>
      <c r="Y3">
        <v>-0.54812499999999997</v>
      </c>
      <c r="Z3">
        <v>-15.611348</v>
      </c>
      <c r="AA3">
        <v>-7.4620379999999997</v>
      </c>
      <c r="AB3">
        <v>1</v>
      </c>
    </row>
    <row r="4" spans="1:28" x14ac:dyDescent="0.35">
      <c r="A4" s="1">
        <v>45856.833333333336</v>
      </c>
      <c r="B4">
        <v>31.6</v>
      </c>
      <c r="C4">
        <v>8.69</v>
      </c>
      <c r="D4">
        <v>8.69</v>
      </c>
      <c r="E4">
        <v>206.39800299999999</v>
      </c>
      <c r="F4">
        <v>24.75</v>
      </c>
      <c r="G4">
        <v>1.2044999999999999</v>
      </c>
      <c r="H4">
        <v>2.1974999999999998</v>
      </c>
      <c r="I4">
        <v>0.74585599999999996</v>
      </c>
      <c r="J4">
        <v>3.0000000000000001E-5</v>
      </c>
      <c r="K4">
        <v>5.9450419999999999</v>
      </c>
      <c r="L4">
        <v>2.4000000000000001E-5</v>
      </c>
      <c r="M4">
        <v>-11.414451</v>
      </c>
      <c r="N4">
        <v>-5.4113720000000001</v>
      </c>
      <c r="O4">
        <v>-5.4113470000000001</v>
      </c>
      <c r="P4">
        <v>0.79768099999999997</v>
      </c>
      <c r="Q4">
        <v>0.55333900000000003</v>
      </c>
      <c r="R4">
        <v>-4.601896</v>
      </c>
      <c r="S4">
        <v>0.26088899999999998</v>
      </c>
      <c r="T4">
        <v>89.092380000000006</v>
      </c>
      <c r="U4">
        <v>2.6662469999999998</v>
      </c>
      <c r="V4">
        <v>18.815000000000001</v>
      </c>
      <c r="W4">
        <v>-7.62</v>
      </c>
      <c r="X4">
        <v>-9.1737649999999995</v>
      </c>
      <c r="Y4">
        <v>1.5537650000000001</v>
      </c>
      <c r="Z4">
        <v>-15.800236999999999</v>
      </c>
      <c r="AA4">
        <v>-7.616168</v>
      </c>
      <c r="AB4">
        <v>1</v>
      </c>
    </row>
    <row r="5" spans="1:28" x14ac:dyDescent="0.35">
      <c r="A5" s="1">
        <v>45856.875</v>
      </c>
      <c r="B5">
        <v>31.254999999999999</v>
      </c>
      <c r="C5">
        <v>8.5299999999999994</v>
      </c>
      <c r="D5">
        <v>8.5299999999999994</v>
      </c>
      <c r="E5">
        <v>304.27364299999999</v>
      </c>
      <c r="F5">
        <v>26.625</v>
      </c>
      <c r="G5">
        <v>1.06375</v>
      </c>
      <c r="H5">
        <v>2.1902499999999998</v>
      </c>
      <c r="I5">
        <v>0.628687</v>
      </c>
      <c r="J5">
        <v>0</v>
      </c>
      <c r="K5">
        <v>2.972521</v>
      </c>
      <c r="L5">
        <v>0</v>
      </c>
      <c r="M5">
        <v>-11.376407</v>
      </c>
      <c r="N5">
        <v>-5.1824729999999999</v>
      </c>
      <c r="O5">
        <v>-5.1824729999999999</v>
      </c>
      <c r="P5">
        <v>0.817241</v>
      </c>
      <c r="Q5">
        <v>0.57169000000000003</v>
      </c>
      <c r="R5">
        <v>-2.6194220000000001</v>
      </c>
      <c r="S5">
        <v>0.38785900000000001</v>
      </c>
      <c r="T5">
        <v>91.402000999999998</v>
      </c>
      <c r="U5">
        <v>1.884188</v>
      </c>
      <c r="V5">
        <v>19.0825</v>
      </c>
      <c r="W5">
        <v>-7.7949999999999999</v>
      </c>
      <c r="X5">
        <v>-11.287775999999999</v>
      </c>
      <c r="Y5">
        <v>3.4927760000000001</v>
      </c>
      <c r="Z5">
        <v>-15.987365</v>
      </c>
      <c r="AA5">
        <v>-7.7684519999999999</v>
      </c>
      <c r="AB5">
        <v>0</v>
      </c>
    </row>
    <row r="6" spans="1:28" x14ac:dyDescent="0.35">
      <c r="A6" s="1">
        <v>45856.916666666664</v>
      </c>
      <c r="B6">
        <v>30.91</v>
      </c>
      <c r="C6">
        <v>8.3699999999999992</v>
      </c>
      <c r="D6">
        <v>8.3699999999999992</v>
      </c>
      <c r="E6">
        <v>446.40740899999997</v>
      </c>
      <c r="F6">
        <v>28.5</v>
      </c>
      <c r="G6">
        <v>0.92300000000000004</v>
      </c>
      <c r="H6">
        <v>2.1829999999999998</v>
      </c>
      <c r="I6">
        <v>0.50553999999999999</v>
      </c>
      <c r="J6">
        <v>0</v>
      </c>
      <c r="K6">
        <v>0</v>
      </c>
      <c r="L6">
        <v>0</v>
      </c>
      <c r="M6">
        <v>-11.338362</v>
      </c>
      <c r="N6">
        <v>-4.9632560000000003</v>
      </c>
      <c r="O6">
        <v>-4.9632560000000003</v>
      </c>
      <c r="P6">
        <v>0.83680100000000002</v>
      </c>
      <c r="Q6">
        <v>0.59032600000000002</v>
      </c>
      <c r="R6">
        <v>0.49749399999999999</v>
      </c>
      <c r="S6">
        <v>0.57387699999999997</v>
      </c>
      <c r="T6">
        <v>93.32338</v>
      </c>
      <c r="U6">
        <v>1.325248</v>
      </c>
      <c r="V6">
        <v>19.350000000000001</v>
      </c>
      <c r="W6">
        <v>-7.97</v>
      </c>
      <c r="X6">
        <v>-13.249787</v>
      </c>
      <c r="Y6">
        <v>5.2797869999999998</v>
      </c>
      <c r="Z6">
        <v>-16.170052999999999</v>
      </c>
      <c r="AA6">
        <v>-7.9161890000000001</v>
      </c>
      <c r="AB6">
        <v>0</v>
      </c>
    </row>
    <row r="7" spans="1:28" x14ac:dyDescent="0.35">
      <c r="A7" s="1">
        <v>45856.958333333336</v>
      </c>
      <c r="B7">
        <v>30.785</v>
      </c>
      <c r="C7">
        <v>8.27</v>
      </c>
      <c r="D7">
        <v>8.27</v>
      </c>
      <c r="E7">
        <v>562.15949000000001</v>
      </c>
      <c r="F7">
        <v>28.574999999999999</v>
      </c>
      <c r="G7">
        <v>0.96875</v>
      </c>
      <c r="H7">
        <v>2.1520000000000001</v>
      </c>
      <c r="I7">
        <v>0.40815000000000001</v>
      </c>
      <c r="J7">
        <v>0</v>
      </c>
      <c r="K7">
        <v>0</v>
      </c>
      <c r="L7">
        <v>0</v>
      </c>
      <c r="M7">
        <v>-11.242353</v>
      </c>
      <c r="N7">
        <v>-4.886139</v>
      </c>
      <c r="O7">
        <v>-4.886139</v>
      </c>
      <c r="P7">
        <v>0.82143200000000005</v>
      </c>
      <c r="Q7">
        <v>0.58125899999999997</v>
      </c>
      <c r="R7">
        <v>3.0581559999999999</v>
      </c>
      <c r="S7">
        <v>0.72491499999999998</v>
      </c>
      <c r="T7">
        <v>93.524362999999994</v>
      </c>
      <c r="U7">
        <v>1.052406</v>
      </c>
      <c r="V7">
        <v>19.337499999999999</v>
      </c>
      <c r="W7">
        <v>-8.0175000000000001</v>
      </c>
      <c r="X7">
        <v>-15.344847</v>
      </c>
      <c r="Y7">
        <v>7.3273469999999996</v>
      </c>
      <c r="Z7">
        <v>-16.209561000000001</v>
      </c>
      <c r="AA7">
        <v>-7.9427919999999999</v>
      </c>
      <c r="AB7">
        <v>0</v>
      </c>
    </row>
    <row r="8" spans="1:28" x14ac:dyDescent="0.35">
      <c r="A8" s="1">
        <v>45857</v>
      </c>
      <c r="B8">
        <v>30.66</v>
      </c>
      <c r="C8">
        <v>8.17</v>
      </c>
      <c r="D8">
        <v>8.17</v>
      </c>
      <c r="E8">
        <v>706.82463399999995</v>
      </c>
      <c r="F8">
        <v>28.65</v>
      </c>
      <c r="G8">
        <v>1.0145</v>
      </c>
      <c r="H8">
        <v>2.121</v>
      </c>
      <c r="I8">
        <v>0.30968099999999998</v>
      </c>
      <c r="J8">
        <v>0</v>
      </c>
      <c r="K8">
        <v>0</v>
      </c>
      <c r="L8">
        <v>0</v>
      </c>
      <c r="M8">
        <v>-11.146343999999999</v>
      </c>
      <c r="N8">
        <v>-4.8102200000000002</v>
      </c>
      <c r="O8">
        <v>-4.8102200000000002</v>
      </c>
      <c r="P8">
        <v>0.806064</v>
      </c>
      <c r="Q8">
        <v>0.57213199999999997</v>
      </c>
      <c r="R8">
        <v>6.169886</v>
      </c>
      <c r="S8">
        <v>0.91428600000000004</v>
      </c>
      <c r="T8">
        <v>93.579733000000004</v>
      </c>
      <c r="U8">
        <v>0.83442499999999997</v>
      </c>
      <c r="V8">
        <v>19.324999999999999</v>
      </c>
      <c r="W8">
        <v>-8.0649999999999995</v>
      </c>
      <c r="X8">
        <v>-17.410177000000001</v>
      </c>
      <c r="Y8">
        <v>9.3451769999999996</v>
      </c>
      <c r="Z8">
        <v>-16.245076999999998</v>
      </c>
      <c r="AA8">
        <v>-7.9653609999999997</v>
      </c>
      <c r="AB8">
        <v>0</v>
      </c>
    </row>
    <row r="9" spans="1:28" x14ac:dyDescent="0.35">
      <c r="A9" s="1">
        <v>45857.041666666664</v>
      </c>
      <c r="B9">
        <v>30.535</v>
      </c>
      <c r="C9">
        <v>8.07</v>
      </c>
      <c r="D9">
        <v>8.07</v>
      </c>
      <c r="E9">
        <v>887.38561600000003</v>
      </c>
      <c r="F9">
        <v>28.725000000000001</v>
      </c>
      <c r="G9">
        <v>1.0602499999999999</v>
      </c>
      <c r="H9">
        <v>2.09</v>
      </c>
      <c r="I9">
        <v>0.21024200000000001</v>
      </c>
      <c r="J9">
        <v>0</v>
      </c>
      <c r="K9">
        <v>0</v>
      </c>
      <c r="L9">
        <v>0</v>
      </c>
      <c r="M9">
        <v>-11.050333999999999</v>
      </c>
      <c r="N9">
        <v>-4.7354810000000001</v>
      </c>
      <c r="O9">
        <v>-4.7354810000000001</v>
      </c>
      <c r="P9">
        <v>0.79069599999999995</v>
      </c>
      <c r="Q9">
        <v>0.56294500000000003</v>
      </c>
      <c r="R9">
        <v>9.9516720000000003</v>
      </c>
      <c r="S9">
        <v>1.1514059999999999</v>
      </c>
      <c r="T9">
        <v>93.494129000000001</v>
      </c>
      <c r="U9">
        <v>0.66058300000000003</v>
      </c>
      <c r="V9">
        <v>19.3125</v>
      </c>
      <c r="W9">
        <v>-8.1125000000000007</v>
      </c>
      <c r="X9">
        <v>-19.446224000000001</v>
      </c>
      <c r="Y9">
        <v>11.333724</v>
      </c>
      <c r="Z9">
        <v>-16.275359000000002</v>
      </c>
      <c r="AA9">
        <v>-7.9826389999999998</v>
      </c>
      <c r="AB9">
        <v>0</v>
      </c>
    </row>
    <row r="10" spans="1:28" x14ac:dyDescent="0.35">
      <c r="A10" s="1">
        <v>45857.083333333336</v>
      </c>
      <c r="B10">
        <v>30.41</v>
      </c>
      <c r="C10">
        <v>7.97</v>
      </c>
      <c r="D10">
        <v>7.97</v>
      </c>
      <c r="E10">
        <v>1112.385575</v>
      </c>
      <c r="F10">
        <v>28.8</v>
      </c>
      <c r="G10">
        <v>1.1060000000000001</v>
      </c>
      <c r="H10">
        <v>2.0590000000000002</v>
      </c>
      <c r="I10">
        <v>0.109899</v>
      </c>
      <c r="J10">
        <v>0</v>
      </c>
      <c r="K10">
        <v>0</v>
      </c>
      <c r="L10">
        <v>0</v>
      </c>
      <c r="M10">
        <v>-10.954325000000001</v>
      </c>
      <c r="N10">
        <v>-4.6619029999999997</v>
      </c>
      <c r="O10">
        <v>-4.6619029999999997</v>
      </c>
      <c r="P10">
        <v>0.77532800000000002</v>
      </c>
      <c r="Q10">
        <v>0.55369699999999999</v>
      </c>
      <c r="R10">
        <v>14.545266</v>
      </c>
      <c r="S10">
        <v>1.447837</v>
      </c>
      <c r="T10">
        <v>93.266175000000004</v>
      </c>
      <c r="U10">
        <v>0.52214300000000002</v>
      </c>
      <c r="V10">
        <v>19.3</v>
      </c>
      <c r="W10">
        <v>-8.16</v>
      </c>
      <c r="X10">
        <v>-21.453427999999999</v>
      </c>
      <c r="Y10">
        <v>13.293428</v>
      </c>
      <c r="Z10">
        <v>-16.298915000000001</v>
      </c>
      <c r="AA10">
        <v>-7.9931260000000002</v>
      </c>
      <c r="AB10">
        <v>0</v>
      </c>
    </row>
    <row r="11" spans="1:28" x14ac:dyDescent="0.35">
      <c r="A11" s="1">
        <v>45857.125</v>
      </c>
      <c r="B11">
        <v>30.247499999999999</v>
      </c>
      <c r="C11">
        <v>7.9175000000000004</v>
      </c>
      <c r="D11">
        <v>7.9175000000000004</v>
      </c>
      <c r="E11">
        <v>1241.6356089999999</v>
      </c>
      <c r="F11">
        <v>28.875</v>
      </c>
      <c r="G11">
        <v>1.0894999999999999</v>
      </c>
      <c r="H11">
        <v>2.0677500000000002</v>
      </c>
      <c r="I11">
        <v>5.3460000000000001E-2</v>
      </c>
      <c r="J11">
        <v>0</v>
      </c>
      <c r="K11">
        <v>0</v>
      </c>
      <c r="L11">
        <v>0</v>
      </c>
      <c r="M11">
        <v>-10.938611</v>
      </c>
      <c r="N11">
        <v>-4.5679590000000001</v>
      </c>
      <c r="O11">
        <v>-4.5679590000000001</v>
      </c>
      <c r="P11">
        <v>0.78136300000000003</v>
      </c>
      <c r="Q11">
        <v>0.56023500000000004</v>
      </c>
      <c r="R11">
        <v>17.483367000000001</v>
      </c>
      <c r="S11">
        <v>1.6226149999999999</v>
      </c>
      <c r="T11">
        <v>92.466577000000001</v>
      </c>
      <c r="U11">
        <v>0.45719799999999999</v>
      </c>
      <c r="V11">
        <v>19.164999999999999</v>
      </c>
      <c r="W11">
        <v>-8.0500000000000007</v>
      </c>
      <c r="X11">
        <v>-23.57273</v>
      </c>
      <c r="Y11">
        <v>15.522729999999999</v>
      </c>
      <c r="Z11">
        <v>-16.183945000000001</v>
      </c>
      <c r="AA11">
        <v>-7.8599170000000003</v>
      </c>
      <c r="AB11">
        <v>0</v>
      </c>
    </row>
    <row r="12" spans="1:28" x14ac:dyDescent="0.35">
      <c r="A12" s="1">
        <v>45857.166666666664</v>
      </c>
      <c r="B12">
        <v>30.085000000000001</v>
      </c>
      <c r="C12">
        <v>7.8650000000000002</v>
      </c>
      <c r="D12">
        <v>7.8650000000000002</v>
      </c>
      <c r="E12">
        <v>1385.187905</v>
      </c>
      <c r="F12">
        <v>28.95</v>
      </c>
      <c r="G12">
        <v>1.073</v>
      </c>
      <c r="H12">
        <v>2.0764999999999998</v>
      </c>
      <c r="I12">
        <v>-3.258E-3</v>
      </c>
      <c r="J12">
        <v>0</v>
      </c>
      <c r="K12">
        <v>0</v>
      </c>
      <c r="L12">
        <v>0</v>
      </c>
      <c r="M12">
        <v>-10.922896</v>
      </c>
      <c r="N12">
        <v>-4.4759070000000003</v>
      </c>
      <c r="O12">
        <v>-4.4759070000000003</v>
      </c>
      <c r="P12">
        <v>0.78739700000000001</v>
      </c>
      <c r="Q12">
        <v>0.56681700000000002</v>
      </c>
      <c r="R12">
        <v>20.797927999999999</v>
      </c>
      <c r="S12">
        <v>1.817571</v>
      </c>
      <c r="T12">
        <v>91.625795999999994</v>
      </c>
      <c r="U12">
        <v>0.40011200000000002</v>
      </c>
      <c r="V12">
        <v>19.03</v>
      </c>
      <c r="W12">
        <v>-7.94</v>
      </c>
      <c r="X12">
        <v>-25.682157</v>
      </c>
      <c r="Y12">
        <v>17.742156999999999</v>
      </c>
      <c r="Z12">
        <v>-16.066241000000002</v>
      </c>
      <c r="AA12">
        <v>-7.723929</v>
      </c>
      <c r="AB12">
        <v>0</v>
      </c>
    </row>
    <row r="13" spans="1:28" x14ac:dyDescent="0.35">
      <c r="A13" s="1">
        <v>45857.208333333336</v>
      </c>
      <c r="B13">
        <v>29.922499999999999</v>
      </c>
      <c r="C13">
        <v>7.8125</v>
      </c>
      <c r="D13">
        <v>7.8125</v>
      </c>
      <c r="E13">
        <v>1544.4950839999999</v>
      </c>
      <c r="F13">
        <v>29.024999999999999</v>
      </c>
      <c r="G13">
        <v>1.0565</v>
      </c>
      <c r="H13">
        <v>2.0852499999999998</v>
      </c>
      <c r="I13">
        <v>-6.0262000000000003E-2</v>
      </c>
      <c r="J13">
        <v>0</v>
      </c>
      <c r="K13">
        <v>0</v>
      </c>
      <c r="L13">
        <v>0</v>
      </c>
      <c r="M13">
        <v>-10.907182000000001</v>
      </c>
      <c r="N13">
        <v>-4.3857100000000004</v>
      </c>
      <c r="O13">
        <v>-4.3857100000000004</v>
      </c>
      <c r="P13">
        <v>0.79343200000000003</v>
      </c>
      <c r="Q13">
        <v>0.57344399999999995</v>
      </c>
      <c r="R13">
        <v>24.532489000000002</v>
      </c>
      <c r="S13">
        <v>2.0348630000000001</v>
      </c>
      <c r="T13">
        <v>90.742423000000002</v>
      </c>
      <c r="U13">
        <v>0.34994999999999998</v>
      </c>
      <c r="V13">
        <v>18.895</v>
      </c>
      <c r="W13">
        <v>-7.83</v>
      </c>
      <c r="X13">
        <v>-27.782309000000001</v>
      </c>
      <c r="Y13">
        <v>19.952309</v>
      </c>
      <c r="Z13">
        <v>-15.945459</v>
      </c>
      <c r="AA13">
        <v>-7.5848129999999996</v>
      </c>
      <c r="AB13">
        <v>0</v>
      </c>
    </row>
    <row r="14" spans="1:28" x14ac:dyDescent="0.35">
      <c r="A14" s="1">
        <v>45857.25</v>
      </c>
      <c r="B14">
        <v>29.76</v>
      </c>
      <c r="C14">
        <v>7.76</v>
      </c>
      <c r="D14">
        <v>7.76</v>
      </c>
      <c r="E14">
        <v>1721.125055</v>
      </c>
      <c r="F14">
        <v>29.1</v>
      </c>
      <c r="G14">
        <v>1.04</v>
      </c>
      <c r="H14">
        <v>2.0939999999999999</v>
      </c>
      <c r="I14">
        <v>-0.11755699999999999</v>
      </c>
      <c r="J14">
        <v>3.7254000000000002E-2</v>
      </c>
      <c r="K14">
        <v>0</v>
      </c>
      <c r="L14">
        <v>2.6568999999999999E-2</v>
      </c>
      <c r="M14">
        <v>-10.891467</v>
      </c>
      <c r="N14">
        <v>-4.2973309999999998</v>
      </c>
      <c r="O14">
        <v>-4.2707620000000004</v>
      </c>
      <c r="P14">
        <v>0.79946700000000004</v>
      </c>
      <c r="Q14">
        <v>0.58011500000000005</v>
      </c>
      <c r="R14">
        <v>28.734815999999999</v>
      </c>
      <c r="S14">
        <v>2.2768350000000002</v>
      </c>
      <c r="T14">
        <v>89.814616999999998</v>
      </c>
      <c r="U14">
        <v>0.30588700000000002</v>
      </c>
      <c r="V14">
        <v>18.760000000000002</v>
      </c>
      <c r="W14">
        <v>-7.72</v>
      </c>
      <c r="X14">
        <v>-29.853985999999999</v>
      </c>
      <c r="Y14">
        <v>22.133986</v>
      </c>
      <c r="Z14">
        <v>-15.821216</v>
      </c>
      <c r="AA14">
        <v>-7.4421850000000003</v>
      </c>
      <c r="AB14">
        <v>1</v>
      </c>
    </row>
    <row r="15" spans="1:28" x14ac:dyDescent="0.35">
      <c r="A15" s="1">
        <v>45857.291666666664</v>
      </c>
      <c r="B15">
        <v>29.852499999999999</v>
      </c>
      <c r="C15">
        <v>7.8624999999999998</v>
      </c>
      <c r="D15">
        <v>7.8624999999999998</v>
      </c>
      <c r="E15">
        <v>1380.969517</v>
      </c>
      <c r="F15">
        <v>27.975000000000001</v>
      </c>
      <c r="G15">
        <v>1.0900000000000001</v>
      </c>
      <c r="H15">
        <v>2.0957499999999998</v>
      </c>
      <c r="I15">
        <v>-2.5406000000000001E-2</v>
      </c>
      <c r="J15">
        <v>33.695549999999997</v>
      </c>
      <c r="K15">
        <v>4.607666</v>
      </c>
      <c r="L15">
        <v>9.0275730000000003</v>
      </c>
      <c r="M15">
        <v>-11.009980000000001</v>
      </c>
      <c r="N15">
        <v>-4.3474190000000004</v>
      </c>
      <c r="O15">
        <v>4.6801539999999999</v>
      </c>
      <c r="P15">
        <v>0.81842599999999999</v>
      </c>
      <c r="Q15">
        <v>0.59252499999999997</v>
      </c>
      <c r="R15">
        <v>21.649705000000001</v>
      </c>
      <c r="S15">
        <v>1.822619</v>
      </c>
      <c r="T15">
        <v>91.115268</v>
      </c>
      <c r="U15">
        <v>0.393544</v>
      </c>
      <c r="V15">
        <v>18.920000000000002</v>
      </c>
      <c r="W15">
        <v>-7.6725000000000003</v>
      </c>
      <c r="X15">
        <v>-24.457135000000001</v>
      </c>
      <c r="Y15">
        <v>16.784635000000002</v>
      </c>
      <c r="Z15">
        <v>-15.822889999999999</v>
      </c>
      <c r="AA15">
        <v>-7.4537399999999998</v>
      </c>
      <c r="AB15">
        <v>1</v>
      </c>
    </row>
    <row r="16" spans="1:28" x14ac:dyDescent="0.35">
      <c r="A16" s="1">
        <v>45857.333333333336</v>
      </c>
      <c r="B16">
        <v>29.945</v>
      </c>
      <c r="C16">
        <v>7.9649999999999999</v>
      </c>
      <c r="D16">
        <v>7.9649999999999999</v>
      </c>
      <c r="E16">
        <v>1105.9587389999999</v>
      </c>
      <c r="F16">
        <v>26.85</v>
      </c>
      <c r="G16">
        <v>1.1399999999999999</v>
      </c>
      <c r="H16">
        <v>2.0975000000000001</v>
      </c>
      <c r="I16">
        <v>6.5074999999999994E-2</v>
      </c>
      <c r="J16">
        <v>119.086859</v>
      </c>
      <c r="K16">
        <v>9.2153320000000001</v>
      </c>
      <c r="L16">
        <v>12.399361000000001</v>
      </c>
      <c r="M16">
        <v>-11.128492</v>
      </c>
      <c r="N16">
        <v>-4.3980899999999998</v>
      </c>
      <c r="O16">
        <v>8.0012709999999991</v>
      </c>
      <c r="P16">
        <v>0.83738500000000005</v>
      </c>
      <c r="Q16">
        <v>0.60487599999999997</v>
      </c>
      <c r="R16">
        <v>15.746665999999999</v>
      </c>
      <c r="S16">
        <v>1.4562809999999999</v>
      </c>
      <c r="T16">
        <v>92.259474999999995</v>
      </c>
      <c r="U16">
        <v>0.50533399999999995</v>
      </c>
      <c r="V16">
        <v>19.079999999999998</v>
      </c>
      <c r="W16">
        <v>-7.625</v>
      </c>
      <c r="X16">
        <v>-17.873895000000001</v>
      </c>
      <c r="Y16">
        <v>10.248894999999999</v>
      </c>
      <c r="Z16">
        <v>-15.813151</v>
      </c>
      <c r="AA16">
        <v>-7.4537800000000001</v>
      </c>
      <c r="AB16">
        <v>1</v>
      </c>
    </row>
    <row r="17" spans="1:28" x14ac:dyDescent="0.35">
      <c r="A17" s="1">
        <v>45857.375</v>
      </c>
      <c r="B17">
        <v>30.037500000000001</v>
      </c>
      <c r="C17">
        <v>8.0675000000000008</v>
      </c>
      <c r="D17">
        <v>8.0675000000000008</v>
      </c>
      <c r="E17">
        <v>884.23220600000002</v>
      </c>
      <c r="F17">
        <v>25.725000000000001</v>
      </c>
      <c r="G17">
        <v>1.19</v>
      </c>
      <c r="H17">
        <v>2.0992500000000001</v>
      </c>
      <c r="I17">
        <v>0.15385499999999999</v>
      </c>
      <c r="J17">
        <v>214.102429</v>
      </c>
      <c r="K17">
        <v>13.822998999999999</v>
      </c>
      <c r="L17">
        <v>13.332820999999999</v>
      </c>
      <c r="M17">
        <v>-11.247005</v>
      </c>
      <c r="N17">
        <v>-4.4493520000000002</v>
      </c>
      <c r="O17">
        <v>8.8834689999999998</v>
      </c>
      <c r="P17">
        <v>0.85634399999999999</v>
      </c>
      <c r="Q17">
        <v>0.61716800000000005</v>
      </c>
      <c r="R17">
        <v>10.839918000000001</v>
      </c>
      <c r="S17">
        <v>1.1616310000000001</v>
      </c>
      <c r="T17">
        <v>93.260644999999997</v>
      </c>
      <c r="U17">
        <v>0.64776199999999995</v>
      </c>
      <c r="V17">
        <v>19.239999999999998</v>
      </c>
      <c r="W17">
        <v>-7.5774999999999997</v>
      </c>
      <c r="X17">
        <v>-12.502321</v>
      </c>
      <c r="Y17">
        <v>4.9248209999999997</v>
      </c>
      <c r="Z17">
        <v>-15.794299000000001</v>
      </c>
      <c r="AA17">
        <v>-7.444623</v>
      </c>
      <c r="AB17">
        <v>1</v>
      </c>
    </row>
    <row r="18" spans="1:28" x14ac:dyDescent="0.35">
      <c r="A18" s="1">
        <v>45857.416666666664</v>
      </c>
      <c r="B18">
        <v>30.13</v>
      </c>
      <c r="C18">
        <v>8.17</v>
      </c>
      <c r="D18">
        <v>8.17</v>
      </c>
      <c r="E18">
        <v>705.86619299999995</v>
      </c>
      <c r="F18">
        <v>24.6</v>
      </c>
      <c r="G18">
        <v>1.24</v>
      </c>
      <c r="H18">
        <v>2.101</v>
      </c>
      <c r="I18">
        <v>0.24085000000000001</v>
      </c>
      <c r="J18">
        <v>300.03367200000002</v>
      </c>
      <c r="K18">
        <v>18.430665000000001</v>
      </c>
      <c r="L18">
        <v>13.758322</v>
      </c>
      <c r="M18">
        <v>-11.365518</v>
      </c>
      <c r="N18">
        <v>-4.5012109999999996</v>
      </c>
      <c r="O18">
        <v>9.2571119999999993</v>
      </c>
      <c r="P18">
        <v>0.87530399999999997</v>
      </c>
      <c r="Q18">
        <v>0.62940200000000002</v>
      </c>
      <c r="R18">
        <v>6.7672489999999996</v>
      </c>
      <c r="S18">
        <v>0.92517000000000005</v>
      </c>
      <c r="T18">
        <v>94.126529000000005</v>
      </c>
      <c r="U18">
        <v>0.82903199999999999</v>
      </c>
      <c r="V18">
        <v>19.399999999999999</v>
      </c>
      <c r="W18">
        <v>-7.53</v>
      </c>
      <c r="X18">
        <v>-8.4339480000000009</v>
      </c>
      <c r="Y18">
        <v>0.90394799999999997</v>
      </c>
      <c r="Z18">
        <v>-15.768243</v>
      </c>
      <c r="AA18">
        <v>-7.4281949999999997</v>
      </c>
      <c r="AB18">
        <v>1</v>
      </c>
    </row>
    <row r="19" spans="1:28" x14ac:dyDescent="0.35">
      <c r="A19" s="1">
        <v>45857.458333333336</v>
      </c>
      <c r="B19">
        <v>30.672499999999999</v>
      </c>
      <c r="C19">
        <v>8.33</v>
      </c>
      <c r="D19">
        <v>8.33</v>
      </c>
      <c r="E19">
        <v>487.84185400000001</v>
      </c>
      <c r="F19">
        <v>24.35</v>
      </c>
      <c r="G19">
        <v>1.2762500000000001</v>
      </c>
      <c r="H19">
        <v>2.1047500000000001</v>
      </c>
      <c r="I19">
        <v>0.39701599999999998</v>
      </c>
      <c r="J19">
        <v>366.79580199999998</v>
      </c>
      <c r="K19">
        <v>21.209790000000002</v>
      </c>
      <c r="L19">
        <v>14.469474</v>
      </c>
      <c r="M19">
        <v>-11.497464000000001</v>
      </c>
      <c r="N19">
        <v>-4.8177589999999997</v>
      </c>
      <c r="O19">
        <v>9.6517160000000004</v>
      </c>
      <c r="P19">
        <v>0.88100199999999995</v>
      </c>
      <c r="Q19">
        <v>0.62513099999999999</v>
      </c>
      <c r="R19">
        <v>1.5160899999999999</v>
      </c>
      <c r="S19">
        <v>0.63084799999999996</v>
      </c>
      <c r="T19">
        <v>93.243455999999995</v>
      </c>
      <c r="U19">
        <v>1.198342</v>
      </c>
      <c r="V19">
        <v>19.262499999999999</v>
      </c>
      <c r="W19">
        <v>-7.335</v>
      </c>
      <c r="X19">
        <v>-5.4689120000000004</v>
      </c>
      <c r="Y19">
        <v>-1.866088</v>
      </c>
      <c r="Z19">
        <v>-15.556099</v>
      </c>
      <c r="AA19">
        <v>-7.271909</v>
      </c>
      <c r="AB19">
        <v>1</v>
      </c>
    </row>
    <row r="20" spans="1:28" x14ac:dyDescent="0.35">
      <c r="A20" s="1">
        <v>45857.5</v>
      </c>
      <c r="B20">
        <v>31.215</v>
      </c>
      <c r="C20">
        <v>8.49</v>
      </c>
      <c r="D20">
        <v>8.49</v>
      </c>
      <c r="E20">
        <v>335.77356200000003</v>
      </c>
      <c r="F20">
        <v>24.1</v>
      </c>
      <c r="G20">
        <v>1.3125</v>
      </c>
      <c r="H20">
        <v>2.1084999999999998</v>
      </c>
      <c r="I20">
        <v>0.55013599999999996</v>
      </c>
      <c r="J20">
        <v>408.07944300000003</v>
      </c>
      <c r="K20">
        <v>23.988914999999999</v>
      </c>
      <c r="L20">
        <v>15.123400999999999</v>
      </c>
      <c r="M20">
        <v>-11.62941</v>
      </c>
      <c r="N20">
        <v>-5.156568</v>
      </c>
      <c r="O20">
        <v>9.9668329999999994</v>
      </c>
      <c r="P20">
        <v>0.88670099999999996</v>
      </c>
      <c r="Q20">
        <v>0.62088500000000002</v>
      </c>
      <c r="R20">
        <v>-2.0983269999999998</v>
      </c>
      <c r="S20">
        <v>0.42843799999999999</v>
      </c>
      <c r="T20">
        <v>91.986241000000007</v>
      </c>
      <c r="U20">
        <v>1.724801</v>
      </c>
      <c r="V20">
        <v>19.125</v>
      </c>
      <c r="W20">
        <v>-7.14</v>
      </c>
      <c r="X20">
        <v>-3.2654369999999999</v>
      </c>
      <c r="Y20">
        <v>-3.8745630000000002</v>
      </c>
      <c r="Z20">
        <v>-15.334944999999999</v>
      </c>
      <c r="AA20">
        <v>-7.1063549999999998</v>
      </c>
      <c r="AB20">
        <v>1</v>
      </c>
    </row>
    <row r="21" spans="1:28" x14ac:dyDescent="0.35">
      <c r="A21" s="1">
        <v>45857.541666666664</v>
      </c>
      <c r="B21">
        <v>31.7575</v>
      </c>
      <c r="C21">
        <v>8.65</v>
      </c>
      <c r="D21">
        <v>8.65</v>
      </c>
      <c r="E21">
        <v>229.97946099999999</v>
      </c>
      <c r="F21">
        <v>23.85</v>
      </c>
      <c r="G21">
        <v>1.3487499999999999</v>
      </c>
      <c r="H21">
        <v>2.11225</v>
      </c>
      <c r="I21">
        <v>0.69940899999999995</v>
      </c>
      <c r="J21">
        <v>420.32192700000002</v>
      </c>
      <c r="K21">
        <v>26.768041</v>
      </c>
      <c r="L21">
        <v>15.745623</v>
      </c>
      <c r="M21">
        <v>-11.761355999999999</v>
      </c>
      <c r="N21">
        <v>-5.5192040000000002</v>
      </c>
      <c r="O21">
        <v>10.226419</v>
      </c>
      <c r="P21">
        <v>0.89239900000000005</v>
      </c>
      <c r="Q21">
        <v>0.61668100000000003</v>
      </c>
      <c r="R21">
        <v>-4.5736809999999997</v>
      </c>
      <c r="S21">
        <v>0.28958400000000001</v>
      </c>
      <c r="T21">
        <v>90.302609000000004</v>
      </c>
      <c r="U21">
        <v>2.470313</v>
      </c>
      <c r="V21">
        <v>18.987500000000001</v>
      </c>
      <c r="W21">
        <v>-6.9450000000000003</v>
      </c>
      <c r="X21">
        <v>-1.7052309999999999</v>
      </c>
      <c r="Y21">
        <v>-5.2397689999999999</v>
      </c>
      <c r="Z21">
        <v>-15.108719000000001</v>
      </c>
      <c r="AA21">
        <v>-6.9355039999999999</v>
      </c>
      <c r="AB21">
        <v>1</v>
      </c>
    </row>
    <row r="22" spans="1:28" x14ac:dyDescent="0.35">
      <c r="A22" s="1">
        <v>45857.583333333336</v>
      </c>
      <c r="B22">
        <v>32.299999999999997</v>
      </c>
      <c r="C22">
        <v>8.81</v>
      </c>
      <c r="D22">
        <v>8.81</v>
      </c>
      <c r="E22">
        <v>156.54574500000001</v>
      </c>
      <c r="F22">
        <v>23.6</v>
      </c>
      <c r="G22">
        <v>1.385</v>
      </c>
      <c r="H22">
        <v>2.1160000000000001</v>
      </c>
      <c r="I22">
        <v>0.84369400000000006</v>
      </c>
      <c r="J22">
        <v>402.49857300000002</v>
      </c>
      <c r="K22">
        <v>29.547166000000001</v>
      </c>
      <c r="L22">
        <v>16.338274999999999</v>
      </c>
      <c r="M22">
        <v>-11.893302</v>
      </c>
      <c r="N22">
        <v>-5.9073419999999999</v>
      </c>
      <c r="O22">
        <v>10.430933</v>
      </c>
      <c r="P22">
        <v>0.89809799999999995</v>
      </c>
      <c r="Q22">
        <v>0.61253500000000005</v>
      </c>
      <c r="R22">
        <v>-6.2590130000000004</v>
      </c>
      <c r="S22">
        <v>0.194545</v>
      </c>
      <c r="T22">
        <v>88.104472999999999</v>
      </c>
      <c r="U22">
        <v>3.5164550000000001</v>
      </c>
      <c r="V22">
        <v>18.850000000000001</v>
      </c>
      <c r="W22">
        <v>-6.75</v>
      </c>
      <c r="X22">
        <v>-0.67637499999999995</v>
      </c>
      <c r="Y22">
        <v>-6.0736249999999998</v>
      </c>
      <c r="Z22">
        <v>-14.880514</v>
      </c>
      <c r="AA22">
        <v>-6.7624769999999996</v>
      </c>
      <c r="AB22">
        <v>1</v>
      </c>
    </row>
    <row r="23" spans="1:28" x14ac:dyDescent="0.35">
      <c r="A23" s="1">
        <v>45857.625</v>
      </c>
      <c r="B23">
        <v>32.077500000000001</v>
      </c>
      <c r="C23">
        <v>8.7725000000000009</v>
      </c>
      <c r="D23">
        <v>8.7725000000000009</v>
      </c>
      <c r="E23">
        <v>172.088291</v>
      </c>
      <c r="F23">
        <v>23.225000000000001</v>
      </c>
      <c r="G23">
        <v>1.2805</v>
      </c>
      <c r="H23">
        <v>2.1164999999999998</v>
      </c>
      <c r="I23">
        <v>0.80330500000000005</v>
      </c>
      <c r="J23">
        <v>356.09170899999998</v>
      </c>
      <c r="K23">
        <v>26.53396</v>
      </c>
      <c r="L23">
        <v>15.98071</v>
      </c>
      <c r="M23">
        <v>-11.860535</v>
      </c>
      <c r="N23">
        <v>-5.744955</v>
      </c>
      <c r="O23">
        <v>10.235756</v>
      </c>
      <c r="P23">
        <v>0.91415500000000005</v>
      </c>
      <c r="Q23">
        <v>0.62683999999999995</v>
      </c>
      <c r="R23">
        <v>-6.0335419999999997</v>
      </c>
      <c r="S23">
        <v>0.21501300000000001</v>
      </c>
      <c r="T23">
        <v>89.145886000000004</v>
      </c>
      <c r="U23">
        <v>3.2511009999999998</v>
      </c>
      <c r="V23">
        <v>18.9725</v>
      </c>
      <c r="W23">
        <v>-6.88</v>
      </c>
      <c r="X23">
        <v>-1.1611E-2</v>
      </c>
      <c r="Y23">
        <v>-6.8683889999999996</v>
      </c>
      <c r="Z23">
        <v>-15.027272</v>
      </c>
      <c r="AA23">
        <v>-6.8870649999999998</v>
      </c>
      <c r="AB23">
        <v>1</v>
      </c>
    </row>
    <row r="24" spans="1:28" x14ac:dyDescent="0.35">
      <c r="A24" s="1">
        <v>45857.666666666664</v>
      </c>
      <c r="B24">
        <v>31.855</v>
      </c>
      <c r="C24">
        <v>8.7349999999999994</v>
      </c>
      <c r="D24">
        <v>8.7349999999999994</v>
      </c>
      <c r="E24">
        <v>189.07610700000001</v>
      </c>
      <c r="F24">
        <v>22.85</v>
      </c>
      <c r="G24">
        <v>1.1759999999999999</v>
      </c>
      <c r="H24">
        <v>2.117</v>
      </c>
      <c r="I24">
        <v>0.76244400000000001</v>
      </c>
      <c r="J24">
        <v>285.14151299999997</v>
      </c>
      <c r="K24">
        <v>23.520752999999999</v>
      </c>
      <c r="L24">
        <v>15.522012</v>
      </c>
      <c r="M24">
        <v>-11.827768000000001</v>
      </c>
      <c r="N24">
        <v>-5.5870309999999996</v>
      </c>
      <c r="O24">
        <v>9.9349810000000005</v>
      </c>
      <c r="P24">
        <v>0.93021200000000004</v>
      </c>
      <c r="Q24">
        <v>0.641293</v>
      </c>
      <c r="R24">
        <v>-5.7570810000000003</v>
      </c>
      <c r="S24">
        <v>0.237516</v>
      </c>
      <c r="T24">
        <v>90.152626999999995</v>
      </c>
      <c r="U24">
        <v>3.0041600000000002</v>
      </c>
      <c r="V24">
        <v>19.094999999999999</v>
      </c>
      <c r="W24">
        <v>-7.01</v>
      </c>
      <c r="X24">
        <v>0.44855899999999999</v>
      </c>
      <c r="Y24">
        <v>-7.4585590000000002</v>
      </c>
      <c r="Z24">
        <v>-15.174077</v>
      </c>
      <c r="AA24">
        <v>-7.011673</v>
      </c>
      <c r="AB24">
        <v>1</v>
      </c>
    </row>
    <row r="25" spans="1:28" x14ac:dyDescent="0.35">
      <c r="A25" s="1">
        <v>45857.708333333336</v>
      </c>
      <c r="B25">
        <v>31.6325</v>
      </c>
      <c r="C25">
        <v>8.6974999999999998</v>
      </c>
      <c r="D25">
        <v>8.6974999999999998</v>
      </c>
      <c r="E25">
        <v>207.640289</v>
      </c>
      <c r="F25">
        <v>22.475000000000001</v>
      </c>
      <c r="G25">
        <v>1.0714999999999999</v>
      </c>
      <c r="H25">
        <v>2.1175000000000002</v>
      </c>
      <c r="I25">
        <v>0.72112600000000004</v>
      </c>
      <c r="J25">
        <v>196.53354400000001</v>
      </c>
      <c r="K25">
        <v>20.507546999999999</v>
      </c>
      <c r="L25">
        <v>14.837517</v>
      </c>
      <c r="M25">
        <v>-11.795000999999999</v>
      </c>
      <c r="N25">
        <v>-5.4334490000000004</v>
      </c>
      <c r="O25">
        <v>9.4040680000000005</v>
      </c>
      <c r="P25">
        <v>0.94626900000000003</v>
      </c>
      <c r="Q25">
        <v>0.65589500000000001</v>
      </c>
      <c r="R25">
        <v>-5.4236709999999997</v>
      </c>
      <c r="S25">
        <v>0.26225300000000001</v>
      </c>
      <c r="T25">
        <v>91.126232999999999</v>
      </c>
      <c r="U25">
        <v>2.7745739999999999</v>
      </c>
      <c r="V25">
        <v>19.217500000000001</v>
      </c>
      <c r="W25">
        <v>-7.14</v>
      </c>
      <c r="X25">
        <v>0.73024999999999995</v>
      </c>
      <c r="Y25">
        <v>-7.8702500000000004</v>
      </c>
      <c r="Z25">
        <v>-15.320891</v>
      </c>
      <c r="AA25">
        <v>-7.1362629999999996</v>
      </c>
      <c r="AB25">
        <v>1</v>
      </c>
    </row>
    <row r="26" spans="1:28" x14ac:dyDescent="0.35">
      <c r="A26" s="1">
        <v>45857.75</v>
      </c>
      <c r="B26">
        <v>31.41</v>
      </c>
      <c r="C26">
        <v>8.66</v>
      </c>
      <c r="D26">
        <v>8.66</v>
      </c>
      <c r="E26">
        <v>227.92373599999999</v>
      </c>
      <c r="F26">
        <v>22.1</v>
      </c>
      <c r="G26">
        <v>0.96699999999999997</v>
      </c>
      <c r="H26">
        <v>2.1179999999999999</v>
      </c>
      <c r="I26">
        <v>0.679369</v>
      </c>
      <c r="J26">
        <v>101.382175</v>
      </c>
      <c r="K26">
        <v>17.494340000000001</v>
      </c>
      <c r="L26">
        <v>13.437464</v>
      </c>
      <c r="M26">
        <v>-11.762233</v>
      </c>
      <c r="N26">
        <v>-5.2840879999999997</v>
      </c>
      <c r="O26">
        <v>8.1533750000000005</v>
      </c>
      <c r="P26">
        <v>0.96232600000000001</v>
      </c>
      <c r="Q26">
        <v>0.67064400000000002</v>
      </c>
      <c r="R26">
        <v>-5.0266950000000001</v>
      </c>
      <c r="S26">
        <v>0.289439</v>
      </c>
      <c r="T26">
        <v>92.068184000000002</v>
      </c>
      <c r="U26">
        <v>2.5613169999999998</v>
      </c>
      <c r="V26">
        <v>19.34</v>
      </c>
      <c r="W26">
        <v>-7.27</v>
      </c>
      <c r="X26">
        <v>0.76736800000000005</v>
      </c>
      <c r="Y26">
        <v>-8.0373680000000007</v>
      </c>
      <c r="Z26">
        <v>-15.467677</v>
      </c>
      <c r="AA26">
        <v>-7.260796</v>
      </c>
      <c r="AB26">
        <v>1</v>
      </c>
    </row>
    <row r="27" spans="1:28" x14ac:dyDescent="0.35">
      <c r="A27" s="1">
        <v>45857.791666666664</v>
      </c>
      <c r="B27">
        <v>31.2425</v>
      </c>
      <c r="C27">
        <v>8.5</v>
      </c>
      <c r="D27">
        <v>8.5</v>
      </c>
      <c r="E27">
        <v>331.746939</v>
      </c>
      <c r="F27">
        <v>23.175000000000001</v>
      </c>
      <c r="G27">
        <v>0.84724999999999995</v>
      </c>
      <c r="H27">
        <v>2.11375</v>
      </c>
      <c r="I27">
        <v>0.54761300000000002</v>
      </c>
      <c r="J27">
        <v>21.575578</v>
      </c>
      <c r="K27">
        <v>13.120755000000001</v>
      </c>
      <c r="L27">
        <v>8.2491830000000004</v>
      </c>
      <c r="M27">
        <v>-11.655393</v>
      </c>
      <c r="N27">
        <v>-5.1743629999999996</v>
      </c>
      <c r="O27">
        <v>3.0748190000000002</v>
      </c>
      <c r="P27">
        <v>0.95684999999999998</v>
      </c>
      <c r="Q27">
        <v>0.66955600000000004</v>
      </c>
      <c r="R27">
        <v>-2.3656999999999999</v>
      </c>
      <c r="S27">
        <v>0.42301499999999997</v>
      </c>
      <c r="T27">
        <v>92.956962000000004</v>
      </c>
      <c r="U27">
        <v>1.784257</v>
      </c>
      <c r="V27">
        <v>19.324999999999999</v>
      </c>
      <c r="W27">
        <v>-7.375</v>
      </c>
      <c r="X27">
        <v>-3.1234000000000001E-2</v>
      </c>
      <c r="Y27">
        <v>-7.3437659999999996</v>
      </c>
      <c r="Z27">
        <v>-15.566471</v>
      </c>
      <c r="AA27">
        <v>-7.3427220000000002</v>
      </c>
      <c r="AB27">
        <v>1</v>
      </c>
    </row>
    <row r="28" spans="1:28" x14ac:dyDescent="0.35">
      <c r="A28" s="1">
        <v>45857.833333333336</v>
      </c>
      <c r="B28">
        <v>31.074999999999999</v>
      </c>
      <c r="C28">
        <v>8.34</v>
      </c>
      <c r="D28">
        <v>8.34</v>
      </c>
      <c r="E28">
        <v>480.705038</v>
      </c>
      <c r="F28">
        <v>24.25</v>
      </c>
      <c r="G28">
        <v>0.72750000000000004</v>
      </c>
      <c r="H28">
        <v>2.1095000000000002</v>
      </c>
      <c r="I28">
        <v>0.41122199999999998</v>
      </c>
      <c r="J28">
        <v>1.2999999999999999E-5</v>
      </c>
      <c r="K28">
        <v>8.7471700000000006</v>
      </c>
      <c r="L28">
        <v>1.0000000000000001E-5</v>
      </c>
      <c r="M28">
        <v>-11.548553</v>
      </c>
      <c r="N28">
        <v>-5.0669170000000001</v>
      </c>
      <c r="O28">
        <v>-5.0669069999999996</v>
      </c>
      <c r="P28">
        <v>0.95137400000000005</v>
      </c>
      <c r="Q28">
        <v>0.66845100000000002</v>
      </c>
      <c r="R28">
        <v>1.438447</v>
      </c>
      <c r="S28">
        <v>0.61547799999999997</v>
      </c>
      <c r="T28">
        <v>93.438862</v>
      </c>
      <c r="U28">
        <v>1.237601</v>
      </c>
      <c r="V28">
        <v>19.309999999999999</v>
      </c>
      <c r="W28">
        <v>-7.48</v>
      </c>
      <c r="X28">
        <v>-2.198029</v>
      </c>
      <c r="Y28">
        <v>-5.2819710000000004</v>
      </c>
      <c r="Z28">
        <v>-15.660316</v>
      </c>
      <c r="AA28">
        <v>-7.4196410000000004</v>
      </c>
      <c r="AB28">
        <v>1</v>
      </c>
    </row>
    <row r="29" spans="1:28" x14ac:dyDescent="0.35">
      <c r="A29" s="1">
        <v>45857.875</v>
      </c>
      <c r="B29">
        <v>30.907499999999999</v>
      </c>
      <c r="C29">
        <v>8.18</v>
      </c>
      <c r="D29">
        <v>8.18</v>
      </c>
      <c r="E29">
        <v>693.87976100000003</v>
      </c>
      <c r="F29">
        <v>25.324999999999999</v>
      </c>
      <c r="G29">
        <v>0.60775000000000001</v>
      </c>
      <c r="H29">
        <v>2.1052499999999998</v>
      </c>
      <c r="I29">
        <v>0.27106200000000003</v>
      </c>
      <c r="J29">
        <v>0</v>
      </c>
      <c r="K29">
        <v>4.3735850000000003</v>
      </c>
      <c r="L29">
        <v>0</v>
      </c>
      <c r="M29">
        <v>-11.441713</v>
      </c>
      <c r="N29">
        <v>-4.9617019999999998</v>
      </c>
      <c r="O29">
        <v>-4.9617019999999998</v>
      </c>
      <c r="P29">
        <v>0.94589800000000002</v>
      </c>
      <c r="Q29">
        <v>0.66732999999999998</v>
      </c>
      <c r="R29">
        <v>6.866072</v>
      </c>
      <c r="S29">
        <v>0.89208799999999999</v>
      </c>
      <c r="T29">
        <v>93.565104000000005</v>
      </c>
      <c r="U29">
        <v>0.85519299999999998</v>
      </c>
      <c r="V29">
        <v>19.295000000000002</v>
      </c>
      <c r="W29">
        <v>-7.585</v>
      </c>
      <c r="X29">
        <v>-4.3231669999999998</v>
      </c>
      <c r="Y29">
        <v>-3.2618330000000002</v>
      </c>
      <c r="Z29">
        <v>-15.745671</v>
      </c>
      <c r="AA29">
        <v>-7.4879819999999997</v>
      </c>
      <c r="AB29">
        <v>0</v>
      </c>
    </row>
    <row r="30" spans="1:28" x14ac:dyDescent="0.35">
      <c r="A30" s="1">
        <v>45857.916666666664</v>
      </c>
      <c r="B30">
        <v>30.74</v>
      </c>
      <c r="C30">
        <v>8.02</v>
      </c>
      <c r="D30">
        <v>8.02</v>
      </c>
      <c r="E30">
        <v>997.97300299999995</v>
      </c>
      <c r="F30">
        <v>26.4</v>
      </c>
      <c r="G30">
        <v>0.48799999999999999</v>
      </c>
      <c r="H30">
        <v>2.101</v>
      </c>
      <c r="I30">
        <v>0.12768699999999999</v>
      </c>
      <c r="J30">
        <v>0</v>
      </c>
      <c r="K30">
        <v>0</v>
      </c>
      <c r="L30">
        <v>0</v>
      </c>
      <c r="M30">
        <v>-11.334873</v>
      </c>
      <c r="N30">
        <v>-4.8586710000000002</v>
      </c>
      <c r="O30">
        <v>-4.8586710000000002</v>
      </c>
      <c r="P30">
        <v>0.94042199999999998</v>
      </c>
      <c r="Q30">
        <v>0.66619099999999998</v>
      </c>
      <c r="R30">
        <v>14.58797</v>
      </c>
      <c r="S30">
        <v>1.288359</v>
      </c>
      <c r="T30">
        <v>93.352574000000004</v>
      </c>
      <c r="U30">
        <v>0.58879499999999996</v>
      </c>
      <c r="V30">
        <v>19.28</v>
      </c>
      <c r="W30">
        <v>-7.69</v>
      </c>
      <c r="X30">
        <v>-6.4074840000000002</v>
      </c>
      <c r="Y30">
        <v>-1.282516</v>
      </c>
      <c r="Z30">
        <v>-15.817876999999999</v>
      </c>
      <c r="AA30">
        <v>-7.5430479999999998</v>
      </c>
      <c r="AB30">
        <v>0</v>
      </c>
    </row>
    <row r="31" spans="1:28" x14ac:dyDescent="0.35">
      <c r="A31" s="1">
        <v>45857.958333333336</v>
      </c>
      <c r="B31">
        <v>30.5825</v>
      </c>
      <c r="C31">
        <v>8.0024999999999995</v>
      </c>
      <c r="D31">
        <v>8.0024999999999995</v>
      </c>
      <c r="E31">
        <v>1035.5861809999999</v>
      </c>
      <c r="F31">
        <v>26.675000000000001</v>
      </c>
      <c r="G31">
        <v>0.54649999999999999</v>
      </c>
      <c r="H31">
        <v>2.0927500000000001</v>
      </c>
      <c r="I31">
        <v>0.112298</v>
      </c>
      <c r="J31">
        <v>0</v>
      </c>
      <c r="K31">
        <v>0</v>
      </c>
      <c r="L31">
        <v>0</v>
      </c>
      <c r="M31">
        <v>-11.261362999999999</v>
      </c>
      <c r="N31">
        <v>-4.763744</v>
      </c>
      <c r="O31">
        <v>-4.763744</v>
      </c>
      <c r="P31">
        <v>0.91031499999999999</v>
      </c>
      <c r="Q31">
        <v>0.64735600000000004</v>
      </c>
      <c r="R31">
        <v>15.106265</v>
      </c>
      <c r="S31">
        <v>1.3421369999999999</v>
      </c>
      <c r="T31">
        <v>93.275867000000005</v>
      </c>
      <c r="U31">
        <v>0.56359099999999995</v>
      </c>
      <c r="V31">
        <v>19.272500000000001</v>
      </c>
      <c r="W31">
        <v>-7.7125000000000004</v>
      </c>
      <c r="X31">
        <v>-8.4510679999999994</v>
      </c>
      <c r="Y31">
        <v>0.738568</v>
      </c>
      <c r="Z31">
        <v>-15.849821</v>
      </c>
      <c r="AA31">
        <v>-7.5585560000000003</v>
      </c>
      <c r="AB31">
        <v>0</v>
      </c>
    </row>
    <row r="32" spans="1:28" x14ac:dyDescent="0.35">
      <c r="A32" s="1">
        <v>45858</v>
      </c>
      <c r="B32">
        <v>30.425000000000001</v>
      </c>
      <c r="C32">
        <v>7.9850000000000003</v>
      </c>
      <c r="D32">
        <v>7.9850000000000003</v>
      </c>
      <c r="E32">
        <v>1074.5692489999999</v>
      </c>
      <c r="F32">
        <v>26.95</v>
      </c>
      <c r="G32">
        <v>0.60499999999999998</v>
      </c>
      <c r="H32">
        <v>2.0844999999999998</v>
      </c>
      <c r="I32">
        <v>9.6833000000000002E-2</v>
      </c>
      <c r="J32">
        <v>0</v>
      </c>
      <c r="K32">
        <v>0</v>
      </c>
      <c r="L32">
        <v>0</v>
      </c>
      <c r="M32">
        <v>-11.187853</v>
      </c>
      <c r="N32">
        <v>-4.6706719999999997</v>
      </c>
      <c r="O32">
        <v>-4.6706719999999997</v>
      </c>
      <c r="P32">
        <v>0.88020900000000002</v>
      </c>
      <c r="Q32">
        <v>0.62836700000000001</v>
      </c>
      <c r="R32">
        <v>15.599698</v>
      </c>
      <c r="S32">
        <v>1.39811</v>
      </c>
      <c r="T32">
        <v>93.194749000000002</v>
      </c>
      <c r="U32">
        <v>0.53943399999999997</v>
      </c>
      <c r="V32">
        <v>19.265000000000001</v>
      </c>
      <c r="W32">
        <v>-7.7350000000000003</v>
      </c>
      <c r="X32">
        <v>-10.456348999999999</v>
      </c>
      <c r="Y32">
        <v>2.721349</v>
      </c>
      <c r="Z32">
        <v>-15.881500000000001</v>
      </c>
      <c r="AA32">
        <v>-7.5737800000000002</v>
      </c>
      <c r="AB32">
        <v>0</v>
      </c>
    </row>
    <row r="33" spans="1:28" x14ac:dyDescent="0.35">
      <c r="A33" s="1">
        <v>45858.041666666664</v>
      </c>
      <c r="B33">
        <v>30.267499999999998</v>
      </c>
      <c r="C33">
        <v>7.9675000000000002</v>
      </c>
      <c r="D33">
        <v>7.9675000000000002</v>
      </c>
      <c r="E33">
        <v>1114.969347</v>
      </c>
      <c r="F33">
        <v>27.225000000000001</v>
      </c>
      <c r="G33">
        <v>0.66349999999999998</v>
      </c>
      <c r="H33">
        <v>2.0762499999999999</v>
      </c>
      <c r="I33">
        <v>8.1293000000000004E-2</v>
      </c>
      <c r="J33">
        <v>0</v>
      </c>
      <c r="K33">
        <v>0</v>
      </c>
      <c r="L33">
        <v>0</v>
      </c>
      <c r="M33">
        <v>-11.114343</v>
      </c>
      <c r="N33">
        <v>-4.5794180000000004</v>
      </c>
      <c r="O33">
        <v>-4.5794180000000004</v>
      </c>
      <c r="P33">
        <v>0.85010300000000005</v>
      </c>
      <c r="Q33">
        <v>0.60922200000000004</v>
      </c>
      <c r="R33">
        <v>16.065670000000001</v>
      </c>
      <c r="S33">
        <v>1.456366</v>
      </c>
      <c r="T33">
        <v>93.109151999999995</v>
      </c>
      <c r="U33">
        <v>0.51627999999999996</v>
      </c>
      <c r="V33">
        <v>19.2575</v>
      </c>
      <c r="W33">
        <v>-7.7575000000000003</v>
      </c>
      <c r="X33">
        <v>-12.424063</v>
      </c>
      <c r="Y33">
        <v>4.666563</v>
      </c>
      <c r="Z33">
        <v>-15.912902000000001</v>
      </c>
      <c r="AA33">
        <v>-7.5887079999999996</v>
      </c>
      <c r="AB33">
        <v>0</v>
      </c>
    </row>
    <row r="34" spans="1:28" x14ac:dyDescent="0.35">
      <c r="A34" s="1">
        <v>45858.083333333336</v>
      </c>
      <c r="B34">
        <v>30.11</v>
      </c>
      <c r="C34">
        <v>7.95</v>
      </c>
      <c r="D34">
        <v>7.95</v>
      </c>
      <c r="E34">
        <v>1156.835008</v>
      </c>
      <c r="F34">
        <v>27.5</v>
      </c>
      <c r="G34">
        <v>0.72199999999999998</v>
      </c>
      <c r="H34">
        <v>2.0680000000000001</v>
      </c>
      <c r="I34">
        <v>6.5678E-2</v>
      </c>
      <c r="J34">
        <v>0</v>
      </c>
      <c r="K34">
        <v>0</v>
      </c>
      <c r="L34">
        <v>0</v>
      </c>
      <c r="M34">
        <v>-11.040832999999999</v>
      </c>
      <c r="N34">
        <v>-4.4899469999999999</v>
      </c>
      <c r="O34">
        <v>-4.4899469999999999</v>
      </c>
      <c r="P34">
        <v>0.81999599999999995</v>
      </c>
      <c r="Q34">
        <v>0.58992199999999995</v>
      </c>
      <c r="R34">
        <v>16.501421000000001</v>
      </c>
      <c r="S34">
        <v>1.516994</v>
      </c>
      <c r="T34">
        <v>93.019001000000003</v>
      </c>
      <c r="U34">
        <v>0.494089</v>
      </c>
      <c r="V34">
        <v>19.25</v>
      </c>
      <c r="W34">
        <v>-7.78</v>
      </c>
      <c r="X34">
        <v>-14.354931000000001</v>
      </c>
      <c r="Y34">
        <v>6.5749310000000003</v>
      </c>
      <c r="Z34">
        <v>-15.944013999999999</v>
      </c>
      <c r="AA34">
        <v>-7.6033270000000002</v>
      </c>
      <c r="AB34">
        <v>0</v>
      </c>
    </row>
    <row r="35" spans="1:28" x14ac:dyDescent="0.35">
      <c r="A35" s="1">
        <v>45858.125</v>
      </c>
      <c r="B35">
        <v>29.952500000000001</v>
      </c>
      <c r="C35">
        <v>7.91</v>
      </c>
      <c r="D35">
        <v>7.91</v>
      </c>
      <c r="E35">
        <v>1267.283727</v>
      </c>
      <c r="F35">
        <v>27.774999999999999</v>
      </c>
      <c r="G35">
        <v>0.76075000000000004</v>
      </c>
      <c r="H35">
        <v>2.0674999999999999</v>
      </c>
      <c r="I35">
        <v>2.8701999999999998E-2</v>
      </c>
      <c r="J35">
        <v>0</v>
      </c>
      <c r="K35">
        <v>0</v>
      </c>
      <c r="L35">
        <v>0</v>
      </c>
      <c r="M35">
        <v>-10.976345</v>
      </c>
      <c r="N35">
        <v>-4.4022240000000004</v>
      </c>
      <c r="O35">
        <v>-4.4022240000000004</v>
      </c>
      <c r="P35">
        <v>0.80382500000000001</v>
      </c>
      <c r="Q35">
        <v>0.58052700000000002</v>
      </c>
      <c r="R35">
        <v>18.689095999999999</v>
      </c>
      <c r="S35">
        <v>1.66838</v>
      </c>
      <c r="T35">
        <v>93.166262000000003</v>
      </c>
      <c r="U35">
        <v>0.45016600000000001</v>
      </c>
      <c r="V35">
        <v>19.307500000000001</v>
      </c>
      <c r="W35">
        <v>-7.82</v>
      </c>
      <c r="X35">
        <v>-16.194953000000002</v>
      </c>
      <c r="Y35">
        <v>8.3749529999999996</v>
      </c>
      <c r="Z35">
        <v>-15.982089999999999</v>
      </c>
      <c r="AA35">
        <v>-7.6249529999999996</v>
      </c>
      <c r="AB35">
        <v>0</v>
      </c>
    </row>
    <row r="36" spans="1:28" x14ac:dyDescent="0.35">
      <c r="A36" s="1">
        <v>45858.166666666664</v>
      </c>
      <c r="B36">
        <v>29.795000000000002</v>
      </c>
      <c r="C36">
        <v>7.87</v>
      </c>
      <c r="D36">
        <v>7.87</v>
      </c>
      <c r="E36">
        <v>1387.8952159999999</v>
      </c>
      <c r="F36">
        <v>28.05</v>
      </c>
      <c r="G36">
        <v>0.79949999999999999</v>
      </c>
      <c r="H36">
        <v>2.0670000000000002</v>
      </c>
      <c r="I36">
        <v>-8.4620000000000008E-3</v>
      </c>
      <c r="J36">
        <v>0</v>
      </c>
      <c r="K36">
        <v>0</v>
      </c>
      <c r="L36">
        <v>0</v>
      </c>
      <c r="M36">
        <v>-10.911858000000001</v>
      </c>
      <c r="N36">
        <v>-4.3162149999999997</v>
      </c>
      <c r="O36">
        <v>-4.3162149999999997</v>
      </c>
      <c r="P36">
        <v>0.78765300000000005</v>
      </c>
      <c r="Q36">
        <v>0.571052</v>
      </c>
      <c r="R36">
        <v>21.016846000000001</v>
      </c>
      <c r="S36">
        <v>1.834387</v>
      </c>
      <c r="T36">
        <v>93.287467000000007</v>
      </c>
      <c r="U36">
        <v>0.410024</v>
      </c>
      <c r="V36">
        <v>19.364999999999998</v>
      </c>
      <c r="W36">
        <v>-7.86</v>
      </c>
      <c r="X36">
        <v>-17.987373000000002</v>
      </c>
      <c r="Y36">
        <v>10.127373</v>
      </c>
      <c r="Z36">
        <v>-16.018526999999999</v>
      </c>
      <c r="AA36">
        <v>-7.6449090000000002</v>
      </c>
      <c r="AB36">
        <v>0</v>
      </c>
    </row>
    <row r="37" spans="1:28" x14ac:dyDescent="0.35">
      <c r="A37" s="1">
        <v>45858.208333333336</v>
      </c>
      <c r="B37">
        <v>29.637499999999999</v>
      </c>
      <c r="C37">
        <v>7.83</v>
      </c>
      <c r="D37">
        <v>7.83</v>
      </c>
      <c r="E37">
        <v>1519.547266</v>
      </c>
      <c r="F37">
        <v>28.324999999999999</v>
      </c>
      <c r="G37">
        <v>0.83825000000000005</v>
      </c>
      <c r="H37">
        <v>2.0665</v>
      </c>
      <c r="I37">
        <v>-4.5816000000000003E-2</v>
      </c>
      <c r="J37">
        <v>0</v>
      </c>
      <c r="K37">
        <v>0</v>
      </c>
      <c r="L37">
        <v>0</v>
      </c>
      <c r="M37">
        <v>-10.84737</v>
      </c>
      <c r="N37">
        <v>-4.2318860000000003</v>
      </c>
      <c r="O37">
        <v>-4.2318860000000003</v>
      </c>
      <c r="P37">
        <v>0.771482</v>
      </c>
      <c r="Q37">
        <v>0.56149499999999997</v>
      </c>
      <c r="R37">
        <v>23.491423999999999</v>
      </c>
      <c r="S37">
        <v>2.0163489999999999</v>
      </c>
      <c r="T37">
        <v>93.381255999999993</v>
      </c>
      <c r="U37">
        <v>0.37334299999999998</v>
      </c>
      <c r="V37">
        <v>19.422499999999999</v>
      </c>
      <c r="W37">
        <v>-7.9</v>
      </c>
      <c r="X37">
        <v>-19.733326999999999</v>
      </c>
      <c r="Y37">
        <v>11.833327000000001</v>
      </c>
      <c r="Z37">
        <v>-16.053167999999999</v>
      </c>
      <c r="AA37">
        <v>-7.6630370000000001</v>
      </c>
      <c r="AB37">
        <v>0</v>
      </c>
    </row>
    <row r="38" spans="1:28" x14ac:dyDescent="0.35">
      <c r="A38" s="1">
        <v>45858.25</v>
      </c>
      <c r="B38">
        <v>29.48</v>
      </c>
      <c r="C38">
        <v>7.79</v>
      </c>
      <c r="D38">
        <v>7.79</v>
      </c>
      <c r="E38">
        <v>1663.182337</v>
      </c>
      <c r="F38">
        <v>28.6</v>
      </c>
      <c r="G38">
        <v>0.877</v>
      </c>
      <c r="H38">
        <v>2.0659999999999998</v>
      </c>
      <c r="I38">
        <v>-8.3363000000000007E-2</v>
      </c>
      <c r="J38">
        <v>2.8487999999999999E-2</v>
      </c>
      <c r="K38">
        <v>0</v>
      </c>
      <c r="L38">
        <v>1.9921999999999999E-2</v>
      </c>
      <c r="M38">
        <v>-10.782883</v>
      </c>
      <c r="N38">
        <v>-4.1492050000000003</v>
      </c>
      <c r="O38">
        <v>-4.129283</v>
      </c>
      <c r="P38">
        <v>0.75531099999999995</v>
      </c>
      <c r="Q38">
        <v>0.55185499999999998</v>
      </c>
      <c r="R38">
        <v>26.119461000000001</v>
      </c>
      <c r="S38">
        <v>2.2157100000000001</v>
      </c>
      <c r="T38">
        <v>93.446088000000003</v>
      </c>
      <c r="U38">
        <v>0.33982899999999999</v>
      </c>
      <c r="V38">
        <v>19.48</v>
      </c>
      <c r="W38">
        <v>-7.94</v>
      </c>
      <c r="X38">
        <v>-21.422673</v>
      </c>
      <c r="Y38">
        <v>13.482673</v>
      </c>
      <c r="Z38">
        <v>-16.085844999999999</v>
      </c>
      <c r="AA38">
        <v>-7.6791679999999998</v>
      </c>
      <c r="AB38">
        <v>1</v>
      </c>
    </row>
    <row r="39" spans="1:28" x14ac:dyDescent="0.35">
      <c r="A39" s="1">
        <v>45858.291666666664</v>
      </c>
      <c r="B39">
        <v>29.73</v>
      </c>
      <c r="C39">
        <v>7.88</v>
      </c>
      <c r="D39">
        <v>7.88</v>
      </c>
      <c r="E39">
        <v>1358.506044</v>
      </c>
      <c r="F39">
        <v>27.75</v>
      </c>
      <c r="G39">
        <v>1.00525</v>
      </c>
      <c r="H39">
        <v>2.0684999999999998</v>
      </c>
      <c r="I39">
        <v>-2.928E-3</v>
      </c>
      <c r="J39">
        <v>33.012349999999998</v>
      </c>
      <c r="K39">
        <v>4.5964320000000001</v>
      </c>
      <c r="L39">
        <v>8.8800559999999997</v>
      </c>
      <c r="M39">
        <v>-10.909931</v>
      </c>
      <c r="N39">
        <v>-4.2812109999999999</v>
      </c>
      <c r="O39">
        <v>4.5988449999999998</v>
      </c>
      <c r="P39">
        <v>0.82389199999999996</v>
      </c>
      <c r="Q39">
        <v>0.59827900000000001</v>
      </c>
      <c r="R39">
        <v>21.348476000000002</v>
      </c>
      <c r="S39">
        <v>1.798476</v>
      </c>
      <c r="T39">
        <v>93.529124999999993</v>
      </c>
      <c r="U39">
        <v>0.42013</v>
      </c>
      <c r="V39">
        <v>19.405000000000001</v>
      </c>
      <c r="W39">
        <v>-7.8</v>
      </c>
      <c r="X39">
        <v>-18.003388999999999</v>
      </c>
      <c r="Y39">
        <v>10.203389</v>
      </c>
      <c r="Z39">
        <v>-15.970497999999999</v>
      </c>
      <c r="AA39">
        <v>-7.5895359999999998</v>
      </c>
      <c r="AB39">
        <v>1</v>
      </c>
    </row>
    <row r="40" spans="1:28" x14ac:dyDescent="0.35">
      <c r="A40" s="1">
        <v>45858.333333333336</v>
      </c>
      <c r="B40">
        <v>29.98</v>
      </c>
      <c r="C40">
        <v>7.97</v>
      </c>
      <c r="D40">
        <v>7.97</v>
      </c>
      <c r="E40">
        <v>1108.093889</v>
      </c>
      <c r="F40">
        <v>26.9</v>
      </c>
      <c r="G40">
        <v>1.1335</v>
      </c>
      <c r="H40">
        <v>2.0710000000000002</v>
      </c>
      <c r="I40">
        <v>7.6377E-2</v>
      </c>
      <c r="J40">
        <v>118.232218</v>
      </c>
      <c r="K40">
        <v>9.1928649999999994</v>
      </c>
      <c r="L40">
        <v>12.417657</v>
      </c>
      <c r="M40">
        <v>-11.036979000000001</v>
      </c>
      <c r="N40">
        <v>-4.4174160000000002</v>
      </c>
      <c r="O40">
        <v>8.0002410000000008</v>
      </c>
      <c r="P40">
        <v>0.89247299999999996</v>
      </c>
      <c r="Q40">
        <v>0.64411499999999999</v>
      </c>
      <c r="R40">
        <v>16.820111000000001</v>
      </c>
      <c r="S40">
        <v>1.457808</v>
      </c>
      <c r="T40">
        <v>93.479292999999998</v>
      </c>
      <c r="U40">
        <v>0.51862799999999998</v>
      </c>
      <c r="V40">
        <v>19.329999999999998</v>
      </c>
      <c r="W40">
        <v>-7.66</v>
      </c>
      <c r="X40">
        <v>-13.308161</v>
      </c>
      <c r="Y40">
        <v>5.648161</v>
      </c>
      <c r="Z40">
        <v>-15.846387</v>
      </c>
      <c r="AA40">
        <v>-7.491028</v>
      </c>
      <c r="AB40">
        <v>1</v>
      </c>
    </row>
    <row r="41" spans="1:28" x14ac:dyDescent="0.35">
      <c r="A41" s="1">
        <v>45858.375</v>
      </c>
      <c r="B41">
        <v>30.23</v>
      </c>
      <c r="C41">
        <v>8.06</v>
      </c>
      <c r="D41">
        <v>8.06</v>
      </c>
      <c r="E41">
        <v>902.697318</v>
      </c>
      <c r="F41">
        <v>26.05</v>
      </c>
      <c r="G41">
        <v>1.2617499999999999</v>
      </c>
      <c r="H41">
        <v>2.0735000000000001</v>
      </c>
      <c r="I41">
        <v>0.15454499999999999</v>
      </c>
      <c r="J41">
        <v>213.294736</v>
      </c>
      <c r="K41">
        <v>13.789296999999999</v>
      </c>
      <c r="L41">
        <v>13.514036000000001</v>
      </c>
      <c r="M41">
        <v>-11.164027000000001</v>
      </c>
      <c r="N41">
        <v>-4.5579549999999998</v>
      </c>
      <c r="O41">
        <v>8.9560809999999993</v>
      </c>
      <c r="P41">
        <v>0.96105499999999999</v>
      </c>
      <c r="Q41">
        <v>0.68937000000000004</v>
      </c>
      <c r="R41">
        <v>12.592385999999999</v>
      </c>
      <c r="S41">
        <v>1.1802049999999999</v>
      </c>
      <c r="T41">
        <v>93.309523999999996</v>
      </c>
      <c r="U41">
        <v>0.63935500000000001</v>
      </c>
      <c r="V41">
        <v>19.254999999999999</v>
      </c>
      <c r="W41">
        <v>-7.52</v>
      </c>
      <c r="X41">
        <v>-9.2746060000000003</v>
      </c>
      <c r="Y41">
        <v>1.7546060000000001</v>
      </c>
      <c r="Z41">
        <v>-15.715128</v>
      </c>
      <c r="AA41">
        <v>-7.3852719999999996</v>
      </c>
      <c r="AB41">
        <v>1</v>
      </c>
    </row>
    <row r="42" spans="1:28" x14ac:dyDescent="0.35">
      <c r="A42" s="1">
        <v>45858.416666666664</v>
      </c>
      <c r="B42">
        <v>30.48</v>
      </c>
      <c r="C42">
        <v>8.15</v>
      </c>
      <c r="D42">
        <v>8.15</v>
      </c>
      <c r="E42">
        <v>734.50534800000003</v>
      </c>
      <c r="F42">
        <v>25.2</v>
      </c>
      <c r="G42">
        <v>1.39</v>
      </c>
      <c r="H42">
        <v>2.0760000000000001</v>
      </c>
      <c r="I42">
        <v>0.23153799999999999</v>
      </c>
      <c r="J42">
        <v>299.32030099999997</v>
      </c>
      <c r="K42">
        <v>18.385729999999999</v>
      </c>
      <c r="L42">
        <v>14.106403</v>
      </c>
      <c r="M42">
        <v>-11.291074999999999</v>
      </c>
      <c r="N42">
        <v>-4.7029649999999998</v>
      </c>
      <c r="O42">
        <v>9.4034379999999995</v>
      </c>
      <c r="P42">
        <v>1.029636</v>
      </c>
      <c r="Q42">
        <v>0.73404999999999998</v>
      </c>
      <c r="R42">
        <v>8.6930739999999993</v>
      </c>
      <c r="S42">
        <v>0.95435999999999999</v>
      </c>
      <c r="T42">
        <v>93.028696999999994</v>
      </c>
      <c r="U42">
        <v>0.78720100000000004</v>
      </c>
      <c r="V42">
        <v>19.18</v>
      </c>
      <c r="W42">
        <v>-7.38</v>
      </c>
      <c r="X42">
        <v>-6.1109739999999997</v>
      </c>
      <c r="Y42">
        <v>-1.269026</v>
      </c>
      <c r="Z42">
        <v>-15.578086000000001</v>
      </c>
      <c r="AA42">
        <v>-7.2736479999999997</v>
      </c>
      <c r="AB42">
        <v>1</v>
      </c>
    </row>
    <row r="43" spans="1:28" x14ac:dyDescent="0.35">
      <c r="A43" s="1">
        <v>45858.458333333336</v>
      </c>
      <c r="B43">
        <v>31.164999999999999</v>
      </c>
      <c r="C43">
        <v>8.375</v>
      </c>
      <c r="D43">
        <v>8.375</v>
      </c>
      <c r="E43">
        <v>424.33228800000001</v>
      </c>
      <c r="F43">
        <v>24.75</v>
      </c>
      <c r="G43">
        <v>1.40225</v>
      </c>
      <c r="H43">
        <v>2.0757500000000002</v>
      </c>
      <c r="I43">
        <v>0.43755699999999997</v>
      </c>
      <c r="J43">
        <v>366.17562099999998</v>
      </c>
      <c r="K43">
        <v>21.169567000000001</v>
      </c>
      <c r="L43">
        <v>14.989058</v>
      </c>
      <c r="M43">
        <v>-11.431763999999999</v>
      </c>
      <c r="N43">
        <v>-5.1243689999999997</v>
      </c>
      <c r="O43">
        <v>9.8646890000000003</v>
      </c>
      <c r="P43">
        <v>1.032373</v>
      </c>
      <c r="Q43">
        <v>0.72377100000000005</v>
      </c>
      <c r="R43">
        <v>3.3500000000000001E-4</v>
      </c>
      <c r="S43">
        <v>0.54210700000000001</v>
      </c>
      <c r="T43">
        <v>89.223229000000003</v>
      </c>
      <c r="U43">
        <v>1.280535</v>
      </c>
      <c r="V43">
        <v>18.465</v>
      </c>
      <c r="W43">
        <v>-7.2149999999999999</v>
      </c>
      <c r="X43">
        <v>-3.8297699999999999</v>
      </c>
      <c r="Y43">
        <v>-3.38523</v>
      </c>
      <c r="Z43">
        <v>-15.394958000000001</v>
      </c>
      <c r="AA43">
        <v>-7.1615820000000001</v>
      </c>
      <c r="AB43">
        <v>1</v>
      </c>
    </row>
    <row r="44" spans="1:28" x14ac:dyDescent="0.35">
      <c r="A44" s="1">
        <v>45858.5</v>
      </c>
      <c r="B44">
        <v>31.85</v>
      </c>
      <c r="C44">
        <v>8.6</v>
      </c>
      <c r="D44">
        <v>8.6</v>
      </c>
      <c r="E44">
        <v>242.71474599999999</v>
      </c>
      <c r="F44">
        <v>24.3</v>
      </c>
      <c r="G44">
        <v>1.4145000000000001</v>
      </c>
      <c r="H44">
        <v>2.0754999999999999</v>
      </c>
      <c r="I44">
        <v>0.636876</v>
      </c>
      <c r="J44">
        <v>407.53140100000002</v>
      </c>
      <c r="K44">
        <v>23.953405</v>
      </c>
      <c r="L44">
        <v>15.827997999999999</v>
      </c>
      <c r="M44">
        <v>-11.572452</v>
      </c>
      <c r="N44">
        <v>-5.5835330000000001</v>
      </c>
      <c r="O44">
        <v>10.244465</v>
      </c>
      <c r="P44">
        <v>1.0351109999999999</v>
      </c>
      <c r="Q44">
        <v>0.71369800000000005</v>
      </c>
      <c r="R44">
        <v>-4.9462200000000003</v>
      </c>
      <c r="S44">
        <v>0.30494100000000002</v>
      </c>
      <c r="T44">
        <v>84.721901000000003</v>
      </c>
      <c r="U44">
        <v>2.061906</v>
      </c>
      <c r="V44">
        <v>17.75</v>
      </c>
      <c r="W44">
        <v>-7.05</v>
      </c>
      <c r="X44">
        <v>-2.0871789999999999</v>
      </c>
      <c r="Y44">
        <v>-4.9628209999999999</v>
      </c>
      <c r="Z44">
        <v>-15.196483000000001</v>
      </c>
      <c r="AA44">
        <v>-7.0337389999999997</v>
      </c>
      <c r="AB44">
        <v>1</v>
      </c>
    </row>
    <row r="45" spans="1:28" x14ac:dyDescent="0.35">
      <c r="A45" s="1">
        <v>45858.541666666664</v>
      </c>
      <c r="B45">
        <v>32.534999999999997</v>
      </c>
      <c r="C45">
        <v>8.8249999999999993</v>
      </c>
      <c r="D45">
        <v>8.8249999999999993</v>
      </c>
      <c r="E45">
        <v>137.04607899999999</v>
      </c>
      <c r="F45">
        <v>23.85</v>
      </c>
      <c r="G45">
        <v>1.42675</v>
      </c>
      <c r="H45">
        <v>2.07525</v>
      </c>
      <c r="I45">
        <v>0.82706299999999999</v>
      </c>
      <c r="J45">
        <v>419.81498699999997</v>
      </c>
      <c r="K45">
        <v>26.737241999999998</v>
      </c>
      <c r="L45">
        <v>16.64884</v>
      </c>
      <c r="M45">
        <v>-11.713141</v>
      </c>
      <c r="N45">
        <v>-6.0838390000000002</v>
      </c>
      <c r="O45">
        <v>10.565001000000001</v>
      </c>
      <c r="P45">
        <v>1.0378480000000001</v>
      </c>
      <c r="Q45">
        <v>0.70386599999999999</v>
      </c>
      <c r="R45">
        <v>-7.7157</v>
      </c>
      <c r="S45">
        <v>0.16935700000000001</v>
      </c>
      <c r="T45">
        <v>79.414523000000003</v>
      </c>
      <c r="U45">
        <v>3.2774190000000001</v>
      </c>
      <c r="V45">
        <v>17.035</v>
      </c>
      <c r="W45">
        <v>-6.8849999999999998</v>
      </c>
      <c r="X45">
        <v>-0.88184099999999999</v>
      </c>
      <c r="Y45">
        <v>-6.0031590000000001</v>
      </c>
      <c r="Z45">
        <v>-14.992322</v>
      </c>
      <c r="AA45">
        <v>-6.8998619999999997</v>
      </c>
      <c r="AB45">
        <v>1</v>
      </c>
    </row>
    <row r="46" spans="1:28" x14ac:dyDescent="0.35">
      <c r="A46" s="1">
        <v>45858.583333333336</v>
      </c>
      <c r="B46">
        <v>33.22</v>
      </c>
      <c r="C46">
        <v>9.0500000000000007</v>
      </c>
      <c r="D46">
        <v>9.0500000000000007</v>
      </c>
      <c r="E46">
        <v>75.987989999999996</v>
      </c>
      <c r="F46">
        <v>23.4</v>
      </c>
      <c r="G46">
        <v>1.4390000000000001</v>
      </c>
      <c r="H46">
        <v>2.0750000000000002</v>
      </c>
      <c r="I46">
        <v>1.00451</v>
      </c>
      <c r="J46">
        <v>401.99729500000001</v>
      </c>
      <c r="K46">
        <v>29.521080000000001</v>
      </c>
      <c r="L46">
        <v>17.453104</v>
      </c>
      <c r="M46">
        <v>-11.853828999999999</v>
      </c>
      <c r="N46">
        <v>-6.6289749999999996</v>
      </c>
      <c r="O46">
        <v>10.824128999999999</v>
      </c>
      <c r="P46">
        <v>1.0405850000000001</v>
      </c>
      <c r="Q46">
        <v>0.69432099999999997</v>
      </c>
      <c r="R46">
        <v>-9.2281309999999994</v>
      </c>
      <c r="S46">
        <v>9.2379000000000003E-2</v>
      </c>
      <c r="T46">
        <v>73.106541000000007</v>
      </c>
      <c r="U46">
        <v>5.1175249999999997</v>
      </c>
      <c r="V46">
        <v>16.32</v>
      </c>
      <c r="W46">
        <v>-6.72</v>
      </c>
      <c r="X46">
        <v>-0.19502</v>
      </c>
      <c r="Y46">
        <v>-6.5249800000000002</v>
      </c>
      <c r="Z46">
        <v>-14.789674</v>
      </c>
      <c r="AA46">
        <v>-6.7672129999999999</v>
      </c>
      <c r="AB46">
        <v>1</v>
      </c>
    </row>
    <row r="47" spans="1:28" x14ac:dyDescent="0.35">
      <c r="A47" s="1">
        <v>45858.625</v>
      </c>
      <c r="B47">
        <v>33.01</v>
      </c>
      <c r="C47">
        <v>8.9749999999999996</v>
      </c>
      <c r="D47">
        <v>8.9749999999999996</v>
      </c>
      <c r="E47">
        <v>92.364664000000005</v>
      </c>
      <c r="F47">
        <v>23.074999999999999</v>
      </c>
      <c r="G47">
        <v>1.3759999999999999</v>
      </c>
      <c r="H47">
        <v>2.0764999999999998</v>
      </c>
      <c r="I47">
        <v>0.93710599999999999</v>
      </c>
      <c r="J47">
        <v>355.56118500000002</v>
      </c>
      <c r="K47">
        <v>26.505358999999999</v>
      </c>
      <c r="L47">
        <v>17.086124000000002</v>
      </c>
      <c r="M47">
        <v>-11.851622000000001</v>
      </c>
      <c r="N47">
        <v>-6.4568539999999999</v>
      </c>
      <c r="O47">
        <v>10.629270999999999</v>
      </c>
      <c r="P47">
        <v>1.031587</v>
      </c>
      <c r="Q47">
        <v>0.691743</v>
      </c>
      <c r="R47">
        <v>-8.7617949999999993</v>
      </c>
      <c r="S47">
        <v>0.11285100000000001</v>
      </c>
      <c r="T47">
        <v>75.007658000000006</v>
      </c>
      <c r="U47">
        <v>4.4012000000000002</v>
      </c>
      <c r="V47">
        <v>16.475000000000001</v>
      </c>
      <c r="W47">
        <v>-6.7925000000000004</v>
      </c>
      <c r="X47">
        <v>0.13652700000000001</v>
      </c>
      <c r="Y47">
        <v>-6.9290269999999996</v>
      </c>
      <c r="Z47">
        <v>-14.871814000000001</v>
      </c>
      <c r="AA47">
        <v>-6.8280880000000002</v>
      </c>
      <c r="AB47">
        <v>1</v>
      </c>
    </row>
    <row r="48" spans="1:28" x14ac:dyDescent="0.35">
      <c r="A48" s="1">
        <v>45858.666666666664</v>
      </c>
      <c r="B48">
        <v>32.799999999999997</v>
      </c>
      <c r="C48">
        <v>8.9</v>
      </c>
      <c r="D48">
        <v>8.9</v>
      </c>
      <c r="E48">
        <v>111.98110699999999</v>
      </c>
      <c r="F48">
        <v>22.75</v>
      </c>
      <c r="G48">
        <v>1.3129999999999999</v>
      </c>
      <c r="H48">
        <v>2.0779999999999998</v>
      </c>
      <c r="I48">
        <v>0.86785699999999999</v>
      </c>
      <c r="J48">
        <v>284.55320799999998</v>
      </c>
      <c r="K48">
        <v>23.489637999999999</v>
      </c>
      <c r="L48">
        <v>16.609667999999999</v>
      </c>
      <c r="M48">
        <v>-11.849413999999999</v>
      </c>
      <c r="N48">
        <v>-6.2892020000000004</v>
      </c>
      <c r="O48">
        <v>10.320466</v>
      </c>
      <c r="P48">
        <v>1.022589</v>
      </c>
      <c r="Q48">
        <v>0.68913999999999997</v>
      </c>
      <c r="R48">
        <v>-8.2131659999999993</v>
      </c>
      <c r="S48">
        <v>0.13750699999999999</v>
      </c>
      <c r="T48">
        <v>76.760962000000006</v>
      </c>
      <c r="U48">
        <v>3.7756180000000001</v>
      </c>
      <c r="V48">
        <v>16.63</v>
      </c>
      <c r="W48">
        <v>-6.8650000000000002</v>
      </c>
      <c r="X48">
        <v>0.388042</v>
      </c>
      <c r="Y48">
        <v>-7.2530419999999998</v>
      </c>
      <c r="Z48">
        <v>-14.954647</v>
      </c>
      <c r="AA48">
        <v>-6.8896350000000002</v>
      </c>
      <c r="AB48">
        <v>1</v>
      </c>
    </row>
    <row r="49" spans="1:28" x14ac:dyDescent="0.35">
      <c r="A49" s="1">
        <v>45858.708333333336</v>
      </c>
      <c r="B49">
        <v>32.590000000000003</v>
      </c>
      <c r="C49">
        <v>8.8249999999999993</v>
      </c>
      <c r="D49">
        <v>8.8249999999999993</v>
      </c>
      <c r="E49">
        <v>135.45565300000001</v>
      </c>
      <c r="F49">
        <v>22.425000000000001</v>
      </c>
      <c r="G49">
        <v>1.25</v>
      </c>
      <c r="H49">
        <v>2.0794999999999999</v>
      </c>
      <c r="I49">
        <v>0.79694399999999999</v>
      </c>
      <c r="J49">
        <v>195.876113</v>
      </c>
      <c r="K49">
        <v>20.473918000000001</v>
      </c>
      <c r="L49">
        <v>15.888695</v>
      </c>
      <c r="M49">
        <v>-11.847206</v>
      </c>
      <c r="N49">
        <v>-6.1259030000000001</v>
      </c>
      <c r="O49">
        <v>9.7627930000000003</v>
      </c>
      <c r="P49">
        <v>1.0135909999999999</v>
      </c>
      <c r="Q49">
        <v>0.68650999999999995</v>
      </c>
      <c r="R49">
        <v>-7.5670469999999996</v>
      </c>
      <c r="S49">
        <v>0.16717199999999999</v>
      </c>
      <c r="T49">
        <v>78.378069999999994</v>
      </c>
      <c r="U49">
        <v>3.2317680000000002</v>
      </c>
      <c r="V49">
        <v>16.785</v>
      </c>
      <c r="W49">
        <v>-6.9375</v>
      </c>
      <c r="X49">
        <v>0.53079600000000005</v>
      </c>
      <c r="Y49">
        <v>-7.4682959999999996</v>
      </c>
      <c r="Z49">
        <v>-15.037952000000001</v>
      </c>
      <c r="AA49">
        <v>-6.9516309999999999</v>
      </c>
      <c r="AB49">
        <v>1</v>
      </c>
    </row>
    <row r="50" spans="1:28" x14ac:dyDescent="0.35">
      <c r="A50" s="1">
        <v>45858.75</v>
      </c>
      <c r="B50">
        <v>32.380000000000003</v>
      </c>
      <c r="C50">
        <v>8.75</v>
      </c>
      <c r="D50">
        <v>8.75</v>
      </c>
      <c r="E50">
        <v>163.52457899999999</v>
      </c>
      <c r="F50">
        <v>22.1</v>
      </c>
      <c r="G50">
        <v>1.1870000000000001</v>
      </c>
      <c r="H50">
        <v>2.081</v>
      </c>
      <c r="I50">
        <v>0.72453800000000002</v>
      </c>
      <c r="J50">
        <v>100.69373299999999</v>
      </c>
      <c r="K50">
        <v>17.458196999999998</v>
      </c>
      <c r="L50">
        <v>14.390629000000001</v>
      </c>
      <c r="M50">
        <v>-11.844999</v>
      </c>
      <c r="N50">
        <v>-5.966844</v>
      </c>
      <c r="O50">
        <v>8.4237859999999998</v>
      </c>
      <c r="P50">
        <v>1.0045930000000001</v>
      </c>
      <c r="Q50">
        <v>0.68385200000000002</v>
      </c>
      <c r="R50">
        <v>-6.8054389999999998</v>
      </c>
      <c r="S50">
        <v>0.20283599999999999</v>
      </c>
      <c r="T50">
        <v>79.870560999999995</v>
      </c>
      <c r="U50">
        <v>2.7608440000000001</v>
      </c>
      <c r="V50">
        <v>16.940000000000001</v>
      </c>
      <c r="W50">
        <v>-7.01</v>
      </c>
      <c r="X50">
        <v>0.44320399999999999</v>
      </c>
      <c r="Y50">
        <v>-7.4532040000000004</v>
      </c>
      <c r="Z50">
        <v>-15.12149</v>
      </c>
      <c r="AA50">
        <v>-7.0138350000000003</v>
      </c>
      <c r="AB50">
        <v>1</v>
      </c>
    </row>
    <row r="51" spans="1:28" x14ac:dyDescent="0.35">
      <c r="V51" t="s">
        <v>28</v>
      </c>
      <c r="W51">
        <f>MIN(W2:W50)</f>
        <v>-8.16</v>
      </c>
      <c r="X51">
        <f>MIN(X2:X50)</f>
        <v>-29.853985999999999</v>
      </c>
    </row>
    <row r="52" spans="1:28" x14ac:dyDescent="0.35">
      <c r="V52" t="s">
        <v>29</v>
      </c>
      <c r="W52">
        <f>MAX(W2:W50)</f>
        <v>-6.72</v>
      </c>
      <c r="X52">
        <f>MAX(X2:X50)</f>
        <v>0.76736800000000005</v>
      </c>
    </row>
    <row r="53" spans="1:28" x14ac:dyDescent="0.35">
      <c r="V53" t="s">
        <v>30</v>
      </c>
      <c r="W53">
        <f>W52-W51</f>
        <v>1.4400000000000004</v>
      </c>
      <c r="X53">
        <f>X52-X51</f>
        <v>30.621354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diel_v10_results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Ayers, John C</cp:lastModifiedBy>
  <dcterms:created xsi:type="dcterms:W3CDTF">2026-05-18T13:28:14Z</dcterms:created>
  <dcterms:modified xsi:type="dcterms:W3CDTF">2026-05-18T13:28:14Z</dcterms:modified>
</cp:coreProperties>
</file>